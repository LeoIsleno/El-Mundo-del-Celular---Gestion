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El Mundo Del Celular - Gestion\"/>
    </mc:Choice>
  </mc:AlternateContent>
  <xr:revisionPtr revIDLastSave="0" documentId="13_ncr:1_{5AE66597-173C-417E-8340-42E50801A0DE}" xr6:coauthVersionLast="47" xr6:coauthVersionMax="47" xr10:uidLastSave="{00000000-0000-0000-0000-000000000000}"/>
  <bookViews>
    <workbookView xWindow="20370" yWindow="-120" windowWidth="21840" windowHeight="13020" tabRatio="699" xr2:uid="{00000000-000D-0000-FFFF-FFFF00000000}"/>
  </bookViews>
  <sheets>
    <sheet name="Ventas" sheetId="5" r:id="rId1"/>
    <sheet name="INVENTARIO" sheetId="13" r:id="rId2"/>
    <sheet name="Main" sheetId="1" state="hidden" r:id="rId3"/>
    <sheet name="Cierre" sheetId="14" r:id="rId4"/>
  </sheets>
  <definedNames>
    <definedName name="TABLA_CIERRE">Tabla3[]</definedName>
    <definedName name="TABLA_VENTAS">TABLA_INVENTARIO2[]</definedName>
  </definedNames>
  <calcPr calcId="191029"/>
</workbook>
</file>

<file path=xl/calcChain.xml><?xml version="1.0" encoding="utf-8"?>
<calcChain xmlns="http://schemas.openxmlformats.org/spreadsheetml/2006/main">
  <c r="L7" i="13" l="1"/>
  <c r="L6" i="13"/>
  <c r="L5" i="13"/>
  <c r="L8" i="13"/>
  <c r="L9" i="13"/>
  <c r="L10" i="13"/>
  <c r="L11" i="13"/>
  <c r="L12" i="13"/>
  <c r="L13" i="13"/>
  <c r="L14" i="13"/>
  <c r="E3" i="5"/>
  <c r="E3" i="13"/>
</calcChain>
</file>

<file path=xl/sharedStrings.xml><?xml version="1.0" encoding="utf-8"?>
<sst xmlns="http://schemas.openxmlformats.org/spreadsheetml/2006/main" count="119" uniqueCount="54">
  <si>
    <t>FECHA</t>
  </si>
  <si>
    <t>CATEGORIA</t>
  </si>
  <si>
    <t>DESCRIPCION</t>
  </si>
  <si>
    <t>CANTIDAD</t>
  </si>
  <si>
    <t>COSTO</t>
  </si>
  <si>
    <t>USB</t>
  </si>
  <si>
    <t>CARGADORES</t>
  </si>
  <si>
    <t>VIDRIOS</t>
  </si>
  <si>
    <t xml:space="preserve"> </t>
  </si>
  <si>
    <t/>
  </si>
  <si>
    <t>3</t>
  </si>
  <si>
    <t>Codigo</t>
  </si>
  <si>
    <t>N° Orden</t>
  </si>
  <si>
    <t>Restante</t>
  </si>
  <si>
    <t>PRECIO</t>
  </si>
  <si>
    <t>Forma de pago</t>
  </si>
  <si>
    <t>Fecha</t>
  </si>
  <si>
    <t>Categoria</t>
  </si>
  <si>
    <t>Descripcion</t>
  </si>
  <si>
    <t>Cantidad</t>
  </si>
  <si>
    <t>Precio</t>
  </si>
  <si>
    <t>Forma de Pago</t>
  </si>
  <si>
    <t>Nro Orden</t>
  </si>
  <si>
    <t>14/09/2022</t>
  </si>
  <si>
    <t>DRWER</t>
  </si>
  <si>
    <t>TARJETA</t>
  </si>
  <si>
    <t>TPSN08909</t>
  </si>
  <si>
    <t>19/09/2022</t>
  </si>
  <si>
    <t>FUNDAS</t>
  </si>
  <si>
    <t>FUNDAS REFORZADAS A02</t>
  </si>
  <si>
    <t>FUNDAS REFORZADAS A22</t>
  </si>
  <si>
    <t>SC 500</t>
  </si>
  <si>
    <t>LIBRTIO 500</t>
  </si>
  <si>
    <t>SILICONA 200</t>
  </si>
  <si>
    <t>TPSN10452</t>
  </si>
  <si>
    <t>TPSN08681</t>
  </si>
  <si>
    <t>REFORZADAS A01</t>
  </si>
  <si>
    <t>REFORZADAS A21S</t>
  </si>
  <si>
    <t>TPSN10295</t>
  </si>
  <si>
    <t>REFORZADAS J7 NEO</t>
  </si>
  <si>
    <t>SILICON COVER</t>
  </si>
  <si>
    <t>TPSN99120</t>
  </si>
  <si>
    <t>REFORZADAS A23</t>
  </si>
  <si>
    <t>REFORZADAS A31</t>
  </si>
  <si>
    <t>SILICONA A23 TRANSPARENTES</t>
  </si>
  <si>
    <t>20/09/2022</t>
  </si>
  <si>
    <t>TPSN08367</t>
  </si>
  <si>
    <t>TPSN20861</t>
  </si>
  <si>
    <t>TPSN08748</t>
  </si>
  <si>
    <t>21/09/2022</t>
  </si>
  <si>
    <t>REFORZADAS J7 NEO a</t>
  </si>
  <si>
    <t>22/09/2022</t>
  </si>
  <si>
    <t>FUNDAS REFORZADAS A01</t>
  </si>
  <si>
    <t>EFECTIVO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</si>
</sst>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\ #,##0.00;\-&quot;$&quot;\ #,##0.00"/>
    <numFmt numFmtId="164" formatCode="&quot;$&quot;\ #,##0"/>
    <numFmt numFmtId="165" formatCode="dd/mm/yyyy;@"/>
  </numFmts>
  <fonts count="6" x14ac:knownFonts="1">
    <font>
      <sz val="11"/>
      <color theme="1"/>
      <name val="Calibri"/>
      <family val="2"/>
      <scheme val="minor"/>
    </font>
    <font>
      <b/>
      <sz val="22"/>
      <color theme="1"/>
      <name val="Bahnschrift SemiBold"/>
      <family val="2"/>
    </font>
    <font>
      <sz val="8"/>
      <name val="Calibri"/>
      <family val="2"/>
      <scheme val="minor"/>
    </font>
    <font>
      <sz val="12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 applyBorder="1" applyProtection="1">
      <protection locked="0" hidden="1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7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/>
    <xf numFmtId="0" fontId="0" fillId="0" borderId="8" xfId="0" applyBorder="1" applyAlignment="1">
      <alignment horizontal="center" vertical="center"/>
    </xf>
    <xf numFmtId="0" fontId="4" fillId="0" borderId="0" xfId="0" applyFont="1"/>
    <xf numFmtId="0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1" fontId="4" fillId="2" borderId="0" xfId="0" applyNumberFormat="1" applyFont="1" applyFill="1"/>
    <xf numFmtId="0" fontId="1" fillId="0" borderId="0" xfId="0" applyFont="1" applyFill="1" applyBorder="1" applyAlignment="1" applyProtection="1">
      <alignment horizontal="center" vertical="center"/>
      <protection locked="0" hidden="1"/>
    </xf>
  </cellXfs>
  <cellStyles count="1">
    <cellStyle name="Normal" xfId="0" builtinId="0"/>
  </cellStyles>
  <dxfs count="37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dd/mm/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dd/mm/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dd/mm/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171450</xdr:rowOff>
        </xdr:from>
        <xdr:to>
          <xdr:col>3</xdr:col>
          <xdr:colOff>314325</xdr:colOff>
          <xdr:row>5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Gestionar 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438150</xdr:colOff>
          <xdr:row>6</xdr:row>
          <xdr:rowOff>47625</xdr:rowOff>
        </xdr:from>
        <xdr:to>
          <xdr:col>3</xdr:col>
          <xdr:colOff>314325</xdr:colOff>
          <xdr:row>8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438150</xdr:colOff>
          <xdr:row>9</xdr:row>
          <xdr:rowOff>47625</xdr:rowOff>
        </xdr:from>
        <xdr:to>
          <xdr:col>3</xdr:col>
          <xdr:colOff>314325</xdr:colOff>
          <xdr:row>12</xdr:row>
          <xdr:rowOff>9525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Cierre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3</xdr:row>
          <xdr:rowOff>9525</xdr:rowOff>
        </xdr:from>
        <xdr:to>
          <xdr:col>3</xdr:col>
          <xdr:colOff>1076325</xdr:colOff>
          <xdr:row>6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6</xdr:row>
          <xdr:rowOff>114300</xdr:rowOff>
        </xdr:from>
        <xdr:to>
          <xdr:col>3</xdr:col>
          <xdr:colOff>1076325</xdr:colOff>
          <xdr:row>9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685316</xdr:colOff>
      <xdr:row>2</xdr:row>
      <xdr:rowOff>88791</xdr:rowOff>
    </xdr:from>
    <xdr:ext cx="4884388" cy="510361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206243" y="472864"/>
          <a:ext cx="4884388" cy="510361"/>
        </a:xfrm>
        <a:prstGeom prst="rect">
          <a:avLst/>
        </a:prstGeom>
        <a:solidFill>
          <a:schemeClr val="lt1"/>
        </a:solidFill>
        <a:ln w="0" cmpd="sng">
          <a:solidFill>
            <a:schemeClr val="lt1">
              <a:shade val="50000"/>
              <a:alpha val="98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s-AR" sz="3200">
              <a:latin typeface="Algerian" panose="04020705040A02060702" pitchFamily="82" charset="0"/>
            </a:rPr>
            <a:t>El Mundo Del </a:t>
          </a:r>
          <a:r>
            <a:rPr lang="es-AR" sz="3200">
              <a:ln>
                <a:noFill/>
              </a:ln>
              <a:solidFill>
                <a:schemeClr val="dk1"/>
              </a:solidFill>
              <a:latin typeface="Algerian" panose="04020705040A02060702" pitchFamily="82" charset="0"/>
            </a:rPr>
            <a:t>Celular</a:t>
          </a:r>
        </a:p>
      </xdr:txBody>
    </xdr:sp>
    <xdr:clientData/>
  </xdr:oneCellAnchor>
  <xdr:twoCellAnchor editAs="oneCell">
    <xdr:from>
      <xdr:col>1</xdr:col>
      <xdr:colOff>224806</xdr:colOff>
      <xdr:row>15</xdr:row>
      <xdr:rowOff>191710</xdr:rowOff>
    </xdr:from>
    <xdr:to>
      <xdr:col>2</xdr:col>
      <xdr:colOff>124043</xdr:colOff>
      <xdr:row>19</xdr:row>
      <xdr:rowOff>88792</xdr:rowOff>
    </xdr:to>
    <xdr:pic>
      <xdr:nvPicPr>
        <xdr:cNvPr id="11" name="Gráfico 10" descr="Registr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4806" y="3097642"/>
          <a:ext cx="658008" cy="671998"/>
        </a:xfrm>
        <a:prstGeom prst="rect">
          <a:avLst/>
        </a:prstGeom>
      </xdr:spPr>
    </xdr:pic>
    <xdr:clientData/>
  </xdr:twoCellAnchor>
  <xdr:twoCellAnchor editAs="oneCell">
    <xdr:from>
      <xdr:col>1</xdr:col>
      <xdr:colOff>204489</xdr:colOff>
      <xdr:row>10</xdr:row>
      <xdr:rowOff>153369</xdr:rowOff>
    </xdr:from>
    <xdr:to>
      <xdr:col>2</xdr:col>
      <xdr:colOff>149172</xdr:colOff>
      <xdr:row>14</xdr:row>
      <xdr:rowOff>96864</xdr:rowOff>
    </xdr:to>
    <xdr:pic>
      <xdr:nvPicPr>
        <xdr:cNvPr id="13" name="Gráfico 12" descr="Gráfico de barras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4489" y="2090657"/>
          <a:ext cx="703454" cy="718411"/>
        </a:xfrm>
        <a:prstGeom prst="rect">
          <a:avLst/>
        </a:prstGeom>
      </xdr:spPr>
    </xdr:pic>
    <xdr:clientData/>
  </xdr:twoCellAnchor>
  <xdr:twoCellAnchor editAs="oneCell">
    <xdr:from>
      <xdr:col>1</xdr:col>
      <xdr:colOff>221903</xdr:colOff>
      <xdr:row>5</xdr:row>
      <xdr:rowOff>143405</xdr:rowOff>
    </xdr:from>
    <xdr:to>
      <xdr:col>2</xdr:col>
      <xdr:colOff>186759</xdr:colOff>
      <xdr:row>9</xdr:row>
      <xdr:rowOff>104938</xdr:rowOff>
    </xdr:to>
    <xdr:pic>
      <xdr:nvPicPr>
        <xdr:cNvPr id="15" name="Gráfico 14" descr="Presentación con gráfico de barras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1903" y="1112049"/>
          <a:ext cx="723627" cy="736448"/>
        </a:xfrm>
        <a:prstGeom prst="rect">
          <a:avLst/>
        </a:prstGeom>
      </xdr:spPr>
    </xdr:pic>
    <xdr:clientData/>
  </xdr:twoCellAnchor>
  <xdr:twoCellAnchor>
    <xdr:from>
      <xdr:col>0</xdr:col>
      <xdr:colOff>676735</xdr:colOff>
      <xdr:row>1</xdr:row>
      <xdr:rowOff>23813</xdr:rowOff>
    </xdr:from>
    <xdr:to>
      <xdr:col>11</xdr:col>
      <xdr:colOff>138266</xdr:colOff>
      <xdr:row>22</xdr:row>
      <xdr:rowOff>38407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76735" y="215849"/>
          <a:ext cx="7826632" cy="4239393"/>
        </a:xfrm>
        <a:prstGeom prst="rect">
          <a:avLst/>
        </a:prstGeom>
        <a:noFill/>
        <a:ln w="88900" cap="rnd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oneCell">
    <xdr:from>
      <xdr:col>2</xdr:col>
      <xdr:colOff>196856</xdr:colOff>
      <xdr:row>2</xdr:row>
      <xdr:rowOff>112617</xdr:rowOff>
    </xdr:from>
    <xdr:to>
      <xdr:col>2</xdr:col>
      <xdr:colOff>648080</xdr:colOff>
      <xdr:row>4</xdr:row>
      <xdr:rowOff>177193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783" y="496690"/>
          <a:ext cx="451224" cy="448648"/>
        </a:xfrm>
        <a:prstGeom prst="rect">
          <a:avLst/>
        </a:prstGeom>
      </xdr:spPr>
    </xdr:pic>
    <xdr:clientData/>
  </xdr:twoCellAnchor>
  <xdr:twoCellAnchor>
    <xdr:from>
      <xdr:col>4</xdr:col>
      <xdr:colOff>441618</xdr:colOff>
      <xdr:row>4</xdr:row>
      <xdr:rowOff>121081</xdr:rowOff>
    </xdr:from>
    <xdr:to>
      <xdr:col>4</xdr:col>
      <xdr:colOff>506195</xdr:colOff>
      <xdr:row>20</xdr:row>
      <xdr:rowOff>88793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3483473" y="1081262"/>
          <a:ext cx="64577" cy="304029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7</xdr:row>
          <xdr:rowOff>66675</xdr:rowOff>
        </xdr:from>
        <xdr:to>
          <xdr:col>4</xdr:col>
          <xdr:colOff>219075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12</xdr:row>
          <xdr:rowOff>85725</xdr:rowOff>
        </xdr:from>
        <xdr:to>
          <xdr:col>4</xdr:col>
          <xdr:colOff>219075</xdr:colOff>
          <xdr:row>14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17</xdr:row>
          <xdr:rowOff>123825</xdr:rowOff>
        </xdr:from>
        <xdr:to>
          <xdr:col>4</xdr:col>
          <xdr:colOff>209550</xdr:colOff>
          <xdr:row>20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17</xdr:row>
          <xdr:rowOff>76200</xdr:rowOff>
        </xdr:from>
        <xdr:to>
          <xdr:col>6</xdr:col>
          <xdr:colOff>657225</xdr:colOff>
          <xdr:row>19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Realizar </a:t>
              </a:r>
            </a:p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17</xdr:row>
          <xdr:rowOff>76200</xdr:rowOff>
        </xdr:from>
        <xdr:to>
          <xdr:col>8</xdr:col>
          <xdr:colOff>695325</xdr:colOff>
          <xdr:row>19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17</xdr:row>
          <xdr:rowOff>66675</xdr:rowOff>
        </xdr:from>
        <xdr:to>
          <xdr:col>10</xdr:col>
          <xdr:colOff>704850</xdr:colOff>
          <xdr:row>19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6</xdr:row>
          <xdr:rowOff>171450</xdr:rowOff>
        </xdr:from>
        <xdr:to>
          <xdr:col>10</xdr:col>
          <xdr:colOff>647700</xdr:colOff>
          <xdr:row>15</xdr:row>
          <xdr:rowOff>133350</xdr:rowOff>
        </xdr:to>
        <xdr:sp macro="" textlink="">
          <xdr:nvSpPr>
            <xdr:cNvPr id="1046" name="ListBox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INVENTARIO2" displayName="TABLA_INVENTARIO2" ref="E4:L11" totalsRowShown="0" headerRowDxfId="36" headerRowBorderDxfId="35" tableBorderDxfId="34" totalsRowBorderDxfId="33">
  <autoFilter ref="E4:L11" xr:uid="{00000000-0009-0000-0100-000001000000}"/>
  <tableColumns count="8">
    <tableColumn id="8" xr3:uid="{00000000-0010-0000-0000-000008000000}" name="Nro Orden" dataDxfId="32"/>
    <tableColumn id="1" xr3:uid="{00000000-0010-0000-0000-000001000000}" name="Codigo" dataDxfId="31"/>
    <tableColumn id="2" xr3:uid="{00000000-0010-0000-0000-000002000000}" name="FECHA" dataDxfId="30"/>
    <tableColumn id="3" xr3:uid="{00000000-0010-0000-0000-000003000000}" name="CATEGORIA" dataDxfId="29"/>
    <tableColumn id="4" xr3:uid="{00000000-0010-0000-0000-000004000000}" name="DESCRIPCION" dataDxfId="28"/>
    <tableColumn id="5" xr3:uid="{00000000-0010-0000-0000-000005000000}" name="CANTIDAD" dataDxfId="27"/>
    <tableColumn id="6" xr3:uid="{00000000-0010-0000-0000-000006000000}" name="PRECIO" dataDxfId="26"/>
    <tableColumn id="7" xr3:uid="{00000000-0010-0000-0000-000007000000}" name="Forma de pago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_INVENTARIO" displayName="TABLA_INVENTARIO" ref="E4:L14" totalsRowShown="0" headerRowDxfId="24" headerRowBorderDxfId="23" tableBorderDxfId="22" totalsRowBorderDxfId="21">
  <autoFilter ref="E4:L14" xr:uid="{00000000-0009-0000-0100-000004000000}"/>
  <tableColumns count="8">
    <tableColumn id="19" xr3:uid="{00000000-0010-0000-0100-000013000000}" name="N° Orden" dataDxfId="20"/>
    <tableColumn id="1" xr3:uid="{00000000-0010-0000-0100-000001000000}" name="Codigo" dataDxfId="19"/>
    <tableColumn id="2" xr3:uid="{00000000-0010-0000-0100-000002000000}" name="FECHA" dataDxfId="18"/>
    <tableColumn id="3" xr3:uid="{00000000-0010-0000-0100-000003000000}" name="CATEGORIA" dataDxfId="17"/>
    <tableColumn id="4" xr3:uid="{00000000-0010-0000-0100-000004000000}" name="DESCRIPCION" dataDxfId="16"/>
    <tableColumn id="5" xr3:uid="{00000000-0010-0000-0100-000005000000}" name="CANTIDAD" dataDxfId="15"/>
    <tableColumn id="6" xr3:uid="{00000000-0010-0000-0100-000006000000}" name="COSTO" dataDxfId="14"/>
    <tableColumn id="7" xr3:uid="{00000000-0010-0000-0100-000007000000}" name="Restante" dataDxfId="13">
      <calculatedColumnFormula>SUMIFS(TABLA_INVENTARIO[[#All],[CANTIDAD]],TABLA_INVENTARIO[[#All],[Codigo]],TABLA_INVENTARIO[[#This Row],[Codigo]])-SUMIFS(TABLA_INVENTARIO2[[#All],[CANTIDAD]],TABLA_INVENTARIO2[[#All],[Codigo]],TABLA_INVENTARIO[[#This Row],[Codigo]])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E4:L6" totalsRowShown="0" headerRowDxfId="12" dataDxfId="10" headerRowBorderDxfId="11" tableBorderDxfId="9" totalsRowBorderDxfId="8">
  <autoFilter ref="E4:L6" xr:uid="{00000000-0009-0000-0100-000003000000}"/>
  <tableColumns count="8">
    <tableColumn id="1" xr3:uid="{00000000-0010-0000-0200-000001000000}" name="Nro Orden" dataDxfId="7"/>
    <tableColumn id="2" xr3:uid="{00000000-0010-0000-0200-000002000000}" name="Codigo" dataDxfId="6"/>
    <tableColumn id="3" xr3:uid="{00000000-0010-0000-0200-000003000000}" name="Fecha" dataDxfId="5"/>
    <tableColumn id="4" xr3:uid="{00000000-0010-0000-0200-000004000000}" name="Categoria" dataDxfId="4"/>
    <tableColumn id="5" xr3:uid="{00000000-0010-0000-0200-000005000000}" name="Descripcion" dataDxfId="3"/>
    <tableColumn id="6" xr3:uid="{00000000-0010-0000-0200-000006000000}" name="Cantidad" dataDxfId="2"/>
    <tableColumn id="7" xr3:uid="{00000000-0010-0000-0200-000007000000}" name="Precio" dataDxfId="1"/>
    <tableColumn id="8" xr3:uid="{00000000-0010-0000-0200-000008000000}" name="Forma de Pa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E1:N14"/>
  <sheetViews>
    <sheetView showGridLines="0" tabSelected="1" workbookViewId="0">
      <selection activeCell="C21" sqref="C21"/>
    </sheetView>
  </sheetViews>
  <sheetFormatPr baseColWidth="10" defaultRowHeight="15" x14ac:dyDescent="0.25"/>
  <cols>
    <col min="1" max="1" width="8.42578125" customWidth="1"/>
    <col min="2" max="2" width="7" customWidth="1"/>
    <col min="4" max="4" width="6.140625" customWidth="1"/>
    <col min="5" max="5" width="14.85546875" bestFit="1" customWidth="1"/>
    <col min="6" max="6" width="15.7109375" customWidth="1"/>
    <col min="8" max="8" width="15.85546875" bestFit="1" customWidth="1"/>
    <col min="9" max="9" width="28.7109375" bestFit="1" customWidth="1"/>
    <col min="10" max="10" width="12" bestFit="1" customWidth="1"/>
    <col min="11" max="12" width="18.5703125" bestFit="1" customWidth="1"/>
    <col min="13" max="13" width="18.5703125" customWidth="1"/>
    <col min="14" max="14" width="108.42578125" bestFit="1" customWidth="1"/>
  </cols>
  <sheetData>
    <row r="1" spans="5:14" x14ac:dyDescent="0.25">
      <c r="N1" s="20"/>
    </row>
    <row r="2" spans="5:14" x14ac:dyDescent="0.25">
      <c r="N2" s="20"/>
    </row>
    <row r="3" spans="5:14" x14ac:dyDescent="0.25">
      <c r="E3" s="34">
        <f>MAX(TABLA_INVENTARIO2[Nro Orden])+1</f>
        <v>10</v>
      </c>
    </row>
    <row r="4" spans="5:14" x14ac:dyDescent="0.25">
      <c r="E4" s="7" t="s">
        <v>22</v>
      </c>
      <c r="F4" s="7" t="s">
        <v>11</v>
      </c>
      <c r="G4" s="7" t="s">
        <v>0</v>
      </c>
      <c r="H4" s="7" t="s">
        <v>1</v>
      </c>
      <c r="I4" s="7" t="s">
        <v>2</v>
      </c>
      <c r="J4" s="7" t="s">
        <v>3</v>
      </c>
      <c r="K4" s="8" t="s">
        <v>14</v>
      </c>
      <c r="L4" s="9" t="s">
        <v>15</v>
      </c>
      <c r="M4" s="11"/>
    </row>
    <row r="5" spans="5:14" x14ac:dyDescent="0.25">
      <c r="E5" s="2">
        <v>4</v>
      </c>
      <c r="F5" s="2" t="s">
        <v>34</v>
      </c>
      <c r="G5" s="3"/>
      <c r="H5" s="2" t="s">
        <v>28</v>
      </c>
      <c r="I5" s="2" t="s">
        <v>37</v>
      </c>
      <c r="J5" s="6">
        <v>10</v>
      </c>
      <c r="K5" s="4">
        <v>5000</v>
      </c>
      <c r="L5" s="10" t="s">
        <v>53</v>
      </c>
      <c r="M5" s="11"/>
    </row>
    <row r="6" spans="5:14" x14ac:dyDescent="0.25">
      <c r="E6" s="2">
        <v>9</v>
      </c>
      <c r="F6" s="2" t="s">
        <v>41</v>
      </c>
      <c r="G6" s="3"/>
      <c r="H6" s="2" t="s">
        <v>28</v>
      </c>
      <c r="I6" s="2" t="s">
        <v>44</v>
      </c>
      <c r="J6" s="6">
        <v>10</v>
      </c>
      <c r="K6" s="4">
        <v>500</v>
      </c>
      <c r="L6" s="10" t="s">
        <v>53</v>
      </c>
      <c r="M6" s="11"/>
    </row>
    <row r="7" spans="5:14" x14ac:dyDescent="0.25">
      <c r="E7" s="2">
        <v>5</v>
      </c>
      <c r="F7" s="2" t="s">
        <v>46</v>
      </c>
      <c r="G7" s="3"/>
      <c r="H7" s="2" t="s">
        <v>28</v>
      </c>
      <c r="I7" s="2" t="s">
        <v>43</v>
      </c>
      <c r="J7" s="6">
        <v>4</v>
      </c>
      <c r="K7" s="4">
        <v>0</v>
      </c>
      <c r="L7" s="10" t="s">
        <v>9</v>
      </c>
      <c r="M7" s="11"/>
    </row>
    <row r="8" spans="5:14" x14ac:dyDescent="0.25">
      <c r="E8" s="2">
        <v>4</v>
      </c>
      <c r="F8" s="2" t="s">
        <v>38</v>
      </c>
      <c r="G8" s="3"/>
      <c r="H8" s="2" t="s">
        <v>28</v>
      </c>
      <c r="I8" s="2" t="s">
        <v>39</v>
      </c>
      <c r="J8" s="6">
        <v>3</v>
      </c>
      <c r="K8" s="4">
        <v>0</v>
      </c>
      <c r="L8" s="10" t="s">
        <v>9</v>
      </c>
      <c r="M8" s="11"/>
    </row>
    <row r="9" spans="5:14" x14ac:dyDescent="0.25">
      <c r="E9" s="2">
        <v>3</v>
      </c>
      <c r="F9" s="2" t="s">
        <v>38</v>
      </c>
      <c r="G9" s="3"/>
      <c r="H9" s="2" t="s">
        <v>28</v>
      </c>
      <c r="I9" s="2" t="s">
        <v>40</v>
      </c>
      <c r="J9" s="6">
        <v>2</v>
      </c>
      <c r="K9" s="4">
        <v>0</v>
      </c>
      <c r="L9" s="10" t="s">
        <v>9</v>
      </c>
      <c r="M9" s="11"/>
    </row>
    <row r="10" spans="5:14" x14ac:dyDescent="0.25">
      <c r="E10" s="21">
        <v>2</v>
      </c>
      <c r="F10" s="2">
        <v>123</v>
      </c>
      <c r="G10" s="3" t="s">
        <v>23</v>
      </c>
      <c r="H10" s="2" t="s">
        <v>7</v>
      </c>
      <c r="I10" s="2" t="s">
        <v>24</v>
      </c>
      <c r="J10" s="6">
        <v>234</v>
      </c>
      <c r="K10" s="4">
        <v>345</v>
      </c>
      <c r="L10" s="10" t="s">
        <v>25</v>
      </c>
      <c r="M10" s="11"/>
    </row>
    <row r="11" spans="5:14" x14ac:dyDescent="0.25">
      <c r="E11" s="31">
        <v>1</v>
      </c>
      <c r="F11" s="31" t="s">
        <v>38</v>
      </c>
      <c r="G11" s="30" t="s">
        <v>49</v>
      </c>
      <c r="H11" s="31" t="s">
        <v>28</v>
      </c>
      <c r="I11" s="31" t="s">
        <v>50</v>
      </c>
      <c r="J11" s="29">
        <v>22</v>
      </c>
      <c r="K11" s="32">
        <v>350</v>
      </c>
      <c r="L11" s="33"/>
      <c r="M11" s="11"/>
    </row>
    <row r="12" spans="5:14" x14ac:dyDescent="0.25">
      <c r="L12" s="11"/>
      <c r="M12" s="11"/>
    </row>
    <row r="13" spans="5:14" x14ac:dyDescent="0.25">
      <c r="G13" s="11"/>
      <c r="M13" s="11"/>
    </row>
    <row r="14" spans="5:14" x14ac:dyDescent="0.25">
      <c r="G14" s="11"/>
    </row>
  </sheetData>
  <dataValidations count="1">
    <dataValidation type="whole" allowBlank="1" showInputMessage="1" showErrorMessage="1" errorTitle="Error de Ingreso " error="Los datos no estan permitidos" sqref="E5:F11" xr:uid="{00000000-0002-0000-0100-000000000000}">
      <formula1>0</formula1>
      <formula2>1000000000000000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lamar_ventas">
                <anchor>
                  <from>
                    <xdr:col>1</xdr:col>
                    <xdr:colOff>447675</xdr:colOff>
                    <xdr:row>2</xdr:row>
                    <xdr:rowOff>171450</xdr:rowOff>
                  </from>
                  <to>
                    <xdr:col>3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VOLVER_MAIN_ventas">
                <anchor>
                  <from>
                    <xdr:col>1</xdr:col>
                    <xdr:colOff>438150</xdr:colOff>
                    <xdr:row>6</xdr:row>
                    <xdr:rowOff>47625</xdr:rowOff>
                  </from>
                  <to>
                    <xdr:col>3</xdr:col>
                    <xdr:colOff>314325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>
                <anchor>
                  <from>
                    <xdr:col>1</xdr:col>
                    <xdr:colOff>438150</xdr:colOff>
                    <xdr:row>9</xdr:row>
                    <xdr:rowOff>47625</xdr:rowOff>
                  </from>
                  <to>
                    <xdr:col>3</xdr:col>
                    <xdr:colOff>314325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N151"/>
  <sheetViews>
    <sheetView showGridLines="0" topLeftCell="A2" workbookViewId="0">
      <selection activeCell="B27" sqref="B26:B27"/>
    </sheetView>
  </sheetViews>
  <sheetFormatPr baseColWidth="10" defaultRowHeight="15" x14ac:dyDescent="0.25"/>
  <cols>
    <col min="1" max="1" width="5.7109375" customWidth="1"/>
    <col min="2" max="2" width="12.28515625" customWidth="1"/>
    <col min="3" max="3" width="12.85546875" customWidth="1"/>
    <col min="4" max="4" width="17.85546875" customWidth="1"/>
    <col min="5" max="5" width="16.42578125" customWidth="1"/>
    <col min="6" max="6" width="13.5703125" customWidth="1"/>
    <col min="7" max="7" width="17" customWidth="1"/>
    <col min="8" max="8" width="19.5703125" customWidth="1"/>
    <col min="9" max="9" width="32.140625" bestFit="1" customWidth="1"/>
    <col min="10" max="10" width="15.42578125" customWidth="1"/>
    <col min="12" max="13" width="13" bestFit="1" customWidth="1"/>
  </cols>
  <sheetData>
    <row r="1" spans="1:13" x14ac:dyDescent="0.25">
      <c r="A1" s="22" t="s">
        <v>10</v>
      </c>
      <c r="B1" s="22">
        <v>1</v>
      </c>
      <c r="C1" s="22"/>
    </row>
    <row r="2" spans="1:13" x14ac:dyDescent="0.25">
      <c r="A2" s="22"/>
      <c r="B2" s="22"/>
      <c r="C2" s="22"/>
    </row>
    <row r="3" spans="1:13" x14ac:dyDescent="0.25">
      <c r="E3" s="34">
        <f>MAX(TABLA_INVENTARIO[N° Orden])+1</f>
        <v>10</v>
      </c>
    </row>
    <row r="4" spans="1:13" x14ac:dyDescent="0.25">
      <c r="E4" s="24" t="s">
        <v>12</v>
      </c>
      <c r="F4" s="25" t="s">
        <v>11</v>
      </c>
      <c r="G4" s="7" t="s">
        <v>0</v>
      </c>
      <c r="H4" s="7" t="s">
        <v>1</v>
      </c>
      <c r="I4" s="7" t="s">
        <v>2</v>
      </c>
      <c r="J4" s="7" t="s">
        <v>3</v>
      </c>
      <c r="K4" s="26" t="s">
        <v>4</v>
      </c>
      <c r="L4" s="9" t="s">
        <v>13</v>
      </c>
      <c r="M4" s="5"/>
    </row>
    <row r="5" spans="1:13" x14ac:dyDescent="0.25">
      <c r="E5" s="27">
        <v>9</v>
      </c>
      <c r="F5" s="6">
        <v>99120</v>
      </c>
      <c r="G5" s="3">
        <v>44823</v>
      </c>
      <c r="H5" s="2" t="s">
        <v>28</v>
      </c>
      <c r="I5" s="2" t="s">
        <v>44</v>
      </c>
      <c r="J5" s="6">
        <v>10</v>
      </c>
      <c r="K5" s="4">
        <v>0</v>
      </c>
      <c r="L5" s="23">
        <f>SUMIFS(TABLA_INVENTARIO[[#All],[CANTIDAD]],TABLA_INVENTARIO[[#All],[Codigo]],TABLA_INVENTARIO[[#This Row],[Codigo]])-SUMIFS(TABLA_INVENTARIO2[[#All],[CANTIDAD]],TABLA_INVENTARIO2[[#All],[Codigo]],TABLA_INVENTARIO[[#This Row],[Codigo]])</f>
        <v>10</v>
      </c>
      <c r="M5" s="5"/>
    </row>
    <row r="6" spans="1:13" x14ac:dyDescent="0.25">
      <c r="E6" s="27">
        <v>9</v>
      </c>
      <c r="F6" s="6" t="s">
        <v>41</v>
      </c>
      <c r="G6" s="3" t="s">
        <v>27</v>
      </c>
      <c r="H6" s="2" t="s">
        <v>28</v>
      </c>
      <c r="I6" s="2" t="s">
        <v>44</v>
      </c>
      <c r="J6" s="6">
        <v>3</v>
      </c>
      <c r="K6" s="4">
        <v>200</v>
      </c>
      <c r="L6" s="23">
        <f>SUMIFS(TABLA_INVENTARIO[[#All],[CANTIDAD]],TABLA_INVENTARIO[[#All],[Codigo]],TABLA_INVENTARIO[[#This Row],[Codigo]])-SUMIFS(TABLA_INVENTARIO2[[#All],[CANTIDAD]],TABLA_INVENTARIO2[[#All],[Codigo]],TABLA_INVENTARIO[[#This Row],[Codigo]])</f>
        <v>8</v>
      </c>
      <c r="M6" s="5"/>
    </row>
    <row r="7" spans="1:13" x14ac:dyDescent="0.25">
      <c r="E7" s="27">
        <v>8</v>
      </c>
      <c r="F7" s="6" t="s">
        <v>41</v>
      </c>
      <c r="G7" s="3" t="s">
        <v>27</v>
      </c>
      <c r="H7" s="2" t="s">
        <v>28</v>
      </c>
      <c r="I7" s="2" t="s">
        <v>42</v>
      </c>
      <c r="J7" s="6">
        <v>15</v>
      </c>
      <c r="K7" s="4">
        <v>350</v>
      </c>
      <c r="L7" s="23">
        <f>SUMIFS(TABLA_INVENTARIO[[#All],[CANTIDAD]],TABLA_INVENTARIO[[#All],[Codigo]],TABLA_INVENTARIO[[#This Row],[Codigo]])-SUMIFS(TABLA_INVENTARIO2[[#All],[CANTIDAD]],TABLA_INVENTARIO2[[#All],[Codigo]],TABLA_INVENTARIO[[#This Row],[Codigo]])</f>
        <v>8</v>
      </c>
      <c r="M7" s="5"/>
    </row>
    <row r="8" spans="1:13" x14ac:dyDescent="0.25">
      <c r="E8" s="27">
        <v>7</v>
      </c>
      <c r="F8" s="6" t="s">
        <v>38</v>
      </c>
      <c r="G8" s="3" t="s">
        <v>27</v>
      </c>
      <c r="H8" s="2" t="s">
        <v>28</v>
      </c>
      <c r="I8" s="2" t="s">
        <v>40</v>
      </c>
      <c r="J8" s="6">
        <v>3</v>
      </c>
      <c r="K8" s="4">
        <v>500</v>
      </c>
      <c r="L8" s="23">
        <f>SUMIFS(TABLA_INVENTARIO[[#All],[CANTIDAD]],TABLA_INVENTARIO[[#All],[Codigo]],TABLA_INVENTARIO[[#This Row],[Codigo]])-SUMIFS(TABLA_INVENTARIO2[[#All],[CANTIDAD]],TABLA_INVENTARIO2[[#All],[Codigo]],TABLA_INVENTARIO[[#This Row],[Codigo]])</f>
        <v>-2</v>
      </c>
      <c r="M8" s="5"/>
    </row>
    <row r="9" spans="1:13" x14ac:dyDescent="0.25">
      <c r="E9" s="27">
        <v>6</v>
      </c>
      <c r="F9" s="6" t="s">
        <v>38</v>
      </c>
      <c r="G9" s="3" t="s">
        <v>27</v>
      </c>
      <c r="H9" s="2" t="s">
        <v>28</v>
      </c>
      <c r="I9" s="2" t="s">
        <v>39</v>
      </c>
      <c r="J9" s="6">
        <v>22</v>
      </c>
      <c r="K9" s="4">
        <v>350</v>
      </c>
      <c r="L9" s="23">
        <f>SUMIFS(TABLA_INVENTARIO[[#All],[CANTIDAD]],TABLA_INVENTARIO[[#All],[Codigo]],TABLA_INVENTARIO[[#This Row],[Codigo]])-SUMIFS(TABLA_INVENTARIO2[[#All],[CANTIDAD]],TABLA_INVENTARIO2[[#All],[Codigo]],TABLA_INVENTARIO[[#This Row],[Codigo]])</f>
        <v>-2</v>
      </c>
      <c r="M9" s="5"/>
    </row>
    <row r="10" spans="1:13" x14ac:dyDescent="0.25">
      <c r="E10" s="27">
        <v>5</v>
      </c>
      <c r="F10" s="6" t="s">
        <v>35</v>
      </c>
      <c r="G10" s="3" t="s">
        <v>27</v>
      </c>
      <c r="H10" s="2" t="s">
        <v>28</v>
      </c>
      <c r="I10" s="2" t="s">
        <v>36</v>
      </c>
      <c r="J10" s="6">
        <v>24</v>
      </c>
      <c r="K10" s="4">
        <v>350</v>
      </c>
      <c r="L10" s="23">
        <f>SUMIFS(TABLA_INVENTARIO[[#All],[CANTIDAD]],TABLA_INVENTARIO[[#All],[Codigo]],TABLA_INVENTARIO[[#This Row],[Codigo]])-SUMIFS(TABLA_INVENTARIO2[[#All],[CANTIDAD]],TABLA_INVENTARIO2[[#All],[Codigo]],TABLA_INVENTARIO[[#This Row],[Codigo]])</f>
        <v>24</v>
      </c>
      <c r="M10" s="5"/>
    </row>
    <row r="11" spans="1:13" x14ac:dyDescent="0.25">
      <c r="E11" s="27">
        <v>4</v>
      </c>
      <c r="F11" s="6" t="s">
        <v>34</v>
      </c>
      <c r="G11" s="3" t="s">
        <v>27</v>
      </c>
      <c r="H11" s="2" t="s">
        <v>28</v>
      </c>
      <c r="I11" s="2" t="s">
        <v>37</v>
      </c>
      <c r="J11" s="6">
        <v>20</v>
      </c>
      <c r="K11" s="4">
        <v>350</v>
      </c>
      <c r="L11" s="23">
        <f>SUMIFS(TABLA_INVENTARIO[[#All],[CANTIDAD]],TABLA_INVENTARIO[[#All],[Codigo]],TABLA_INVENTARIO[[#This Row],[Codigo]])-SUMIFS(TABLA_INVENTARIO2[[#All],[CANTIDAD]],TABLA_INVENTARIO2[[#All],[Codigo]],TABLA_INVENTARIO[[#This Row],[Codigo]])</f>
        <v>10</v>
      </c>
      <c r="M11" s="5"/>
    </row>
    <row r="12" spans="1:13" x14ac:dyDescent="0.25">
      <c r="E12" s="27">
        <v>3</v>
      </c>
      <c r="F12" s="6" t="s">
        <v>47</v>
      </c>
      <c r="G12" s="3" t="s">
        <v>45</v>
      </c>
      <c r="H12" s="2" t="s">
        <v>28</v>
      </c>
      <c r="I12" s="2" t="s">
        <v>30</v>
      </c>
      <c r="J12" s="6">
        <v>15</v>
      </c>
      <c r="K12" s="4">
        <v>350</v>
      </c>
      <c r="L12" s="23">
        <f>SUMIFS(TABLA_INVENTARIO[[#All],[CANTIDAD]],TABLA_INVENTARIO[[#All],[Codigo]],TABLA_INVENTARIO[[#This Row],[Codigo]])-SUMIFS(TABLA_INVENTARIO2[[#All],[CANTIDAD]],TABLA_INVENTARIO2[[#All],[Codigo]],TABLA_INVENTARIO[[#This Row],[Codigo]])</f>
        <v>15</v>
      </c>
      <c r="M12" s="5"/>
    </row>
    <row r="13" spans="1:13" x14ac:dyDescent="0.25">
      <c r="E13" s="27">
        <v>2</v>
      </c>
      <c r="F13" s="6" t="s">
        <v>48</v>
      </c>
      <c r="G13" s="3" t="s">
        <v>45</v>
      </c>
      <c r="H13" s="2" t="s">
        <v>28</v>
      </c>
      <c r="I13" s="2" t="s">
        <v>29</v>
      </c>
      <c r="J13" s="6">
        <v>20</v>
      </c>
      <c r="K13" s="4">
        <v>350</v>
      </c>
      <c r="L13" s="23">
        <f>SUMIFS(TABLA_INVENTARIO[[#All],[CANTIDAD]],TABLA_INVENTARIO[[#All],[Codigo]],TABLA_INVENTARIO[[#This Row],[Codigo]])-SUMIFS(TABLA_INVENTARIO2[[#All],[CANTIDAD]],TABLA_INVENTARIO2[[#All],[Codigo]],TABLA_INVENTARIO[[#This Row],[Codigo]])</f>
        <v>20</v>
      </c>
      <c r="M13" s="5"/>
    </row>
    <row r="14" spans="1:13" x14ac:dyDescent="0.25">
      <c r="E14" s="28">
        <v>1</v>
      </c>
      <c r="F14" s="29" t="s">
        <v>26</v>
      </c>
      <c r="G14" s="30" t="s">
        <v>51</v>
      </c>
      <c r="H14" s="31" t="s">
        <v>28</v>
      </c>
      <c r="I14" s="31" t="s">
        <v>52</v>
      </c>
      <c r="J14" s="29">
        <v>16</v>
      </c>
      <c r="K14" s="32">
        <v>350</v>
      </c>
      <c r="L14" s="23">
        <f>SUMIFS(TABLA_INVENTARIO[[#All],[CANTIDAD]],TABLA_INVENTARIO[[#All],[Codigo]],TABLA_INVENTARIO[[#This Row],[Codigo]])-SUMIFS(TABLA_INVENTARIO2[[#All],[CANTIDAD]],TABLA_INVENTARIO2[[#All],[Codigo]],TABLA_INVENTARIO[[#This Row],[Codigo]])</f>
        <v>16</v>
      </c>
      <c r="M14" s="5"/>
    </row>
    <row r="15" spans="1:13" x14ac:dyDescent="0.25">
      <c r="M15" s="5"/>
    </row>
    <row r="16" spans="1:13" x14ac:dyDescent="0.25">
      <c r="M16" s="5"/>
    </row>
    <row r="17" spans="6:14" x14ac:dyDescent="0.25">
      <c r="M17" s="5"/>
    </row>
    <row r="18" spans="6:14" x14ac:dyDescent="0.25">
      <c r="M18" s="5"/>
    </row>
    <row r="19" spans="6:14" x14ac:dyDescent="0.25">
      <c r="M19" s="5"/>
    </row>
    <row r="20" spans="6:14" x14ac:dyDescent="0.25">
      <c r="M20" s="5"/>
    </row>
    <row r="21" spans="6:14" x14ac:dyDescent="0.25">
      <c r="M21" s="5"/>
    </row>
    <row r="22" spans="6:14" x14ac:dyDescent="0.25">
      <c r="M22" s="5"/>
    </row>
    <row r="23" spans="6:14" x14ac:dyDescent="0.25">
      <c r="M23" s="5"/>
    </row>
    <row r="24" spans="6:14" x14ac:dyDescent="0.25">
      <c r="M24" s="5"/>
      <c r="N24" t="s">
        <v>31</v>
      </c>
    </row>
    <row r="25" spans="6:14" x14ac:dyDescent="0.25">
      <c r="M25" s="5"/>
      <c r="N25" t="s">
        <v>32</v>
      </c>
    </row>
    <row r="26" spans="6:14" x14ac:dyDescent="0.25">
      <c r="F26" t="s">
        <v>8</v>
      </c>
      <c r="M26" s="5"/>
      <c r="N26" t="s">
        <v>33</v>
      </c>
    </row>
    <row r="27" spans="6:14" x14ac:dyDescent="0.25">
      <c r="M27" s="5"/>
    </row>
    <row r="28" spans="6:14" x14ac:dyDescent="0.25">
      <c r="M28" s="5"/>
    </row>
    <row r="29" spans="6:14" x14ac:dyDescent="0.25">
      <c r="M29" s="5"/>
    </row>
    <row r="30" spans="6:14" x14ac:dyDescent="0.25">
      <c r="M30" s="5"/>
    </row>
    <row r="31" spans="6:14" x14ac:dyDescent="0.25">
      <c r="M31" s="5"/>
    </row>
    <row r="32" spans="6:14" x14ac:dyDescent="0.25">
      <c r="M32" s="5"/>
    </row>
    <row r="33" spans="13:13" x14ac:dyDescent="0.25">
      <c r="M33" s="5"/>
    </row>
    <row r="34" spans="13:13" x14ac:dyDescent="0.25">
      <c r="M34" s="5"/>
    </row>
    <row r="35" spans="13:13" x14ac:dyDescent="0.25">
      <c r="M35" s="5"/>
    </row>
    <row r="36" spans="13:13" x14ac:dyDescent="0.25">
      <c r="M36" s="5"/>
    </row>
    <row r="37" spans="13:13" x14ac:dyDescent="0.25">
      <c r="M37" s="5"/>
    </row>
    <row r="41" spans="13:13" x14ac:dyDescent="0.25">
      <c r="M41" s="5"/>
    </row>
    <row r="42" spans="13:13" x14ac:dyDescent="0.25">
      <c r="M42" s="5"/>
    </row>
    <row r="43" spans="13:13" x14ac:dyDescent="0.25">
      <c r="M43" s="5"/>
    </row>
    <row r="44" spans="13:13" x14ac:dyDescent="0.25">
      <c r="M44" s="5"/>
    </row>
    <row r="45" spans="13:13" x14ac:dyDescent="0.25">
      <c r="M45" s="5"/>
    </row>
    <row r="46" spans="13:13" x14ac:dyDescent="0.25">
      <c r="M46" s="5"/>
    </row>
    <row r="47" spans="13:13" x14ac:dyDescent="0.25">
      <c r="M47" s="5"/>
    </row>
    <row r="48" spans="13:13" x14ac:dyDescent="0.25">
      <c r="M48" s="5"/>
    </row>
    <row r="49" spans="13:13" x14ac:dyDescent="0.25">
      <c r="M49" s="5"/>
    </row>
    <row r="50" spans="13:13" x14ac:dyDescent="0.25">
      <c r="M50" s="5"/>
    </row>
    <row r="51" spans="13:13" x14ac:dyDescent="0.25">
      <c r="M51" s="5"/>
    </row>
    <row r="52" spans="13:13" x14ac:dyDescent="0.25">
      <c r="M52" s="5"/>
    </row>
    <row r="53" spans="13:13" x14ac:dyDescent="0.25">
      <c r="M53" s="5"/>
    </row>
    <row r="54" spans="13:13" x14ac:dyDescent="0.25">
      <c r="M54" s="5"/>
    </row>
    <row r="55" spans="13:13" x14ac:dyDescent="0.25">
      <c r="M55" s="5"/>
    </row>
    <row r="56" spans="13:13" x14ac:dyDescent="0.25">
      <c r="M56" s="5"/>
    </row>
    <row r="57" spans="13:13" x14ac:dyDescent="0.25">
      <c r="M57" s="5"/>
    </row>
    <row r="58" spans="13:13" x14ac:dyDescent="0.25">
      <c r="M58" s="5"/>
    </row>
    <row r="59" spans="13:13" x14ac:dyDescent="0.25">
      <c r="M59" s="5"/>
    </row>
    <row r="60" spans="13:13" x14ac:dyDescent="0.25">
      <c r="M60" s="5"/>
    </row>
    <row r="61" spans="13:13" x14ac:dyDescent="0.25">
      <c r="M61" s="5"/>
    </row>
    <row r="62" spans="13:13" x14ac:dyDescent="0.25">
      <c r="M62" s="5"/>
    </row>
    <row r="63" spans="13:13" x14ac:dyDescent="0.25">
      <c r="M63" s="5"/>
    </row>
    <row r="64" spans="13:13" x14ac:dyDescent="0.25">
      <c r="M64" s="5"/>
    </row>
    <row r="65" spans="13:13" x14ac:dyDescent="0.25">
      <c r="M65" s="5"/>
    </row>
    <row r="66" spans="13:13" x14ac:dyDescent="0.25">
      <c r="M66" s="5"/>
    </row>
    <row r="67" spans="13:13" x14ac:dyDescent="0.25">
      <c r="M67" s="5"/>
    </row>
    <row r="68" spans="13:13" x14ac:dyDescent="0.25">
      <c r="M68" s="5"/>
    </row>
    <row r="69" spans="13:13" x14ac:dyDescent="0.25">
      <c r="M69" s="5"/>
    </row>
    <row r="70" spans="13:13" x14ac:dyDescent="0.25">
      <c r="M70" s="5"/>
    </row>
    <row r="71" spans="13:13" x14ac:dyDescent="0.25">
      <c r="M71" s="5"/>
    </row>
    <row r="72" spans="13:13" x14ac:dyDescent="0.25">
      <c r="M72" s="5"/>
    </row>
    <row r="73" spans="13:13" x14ac:dyDescent="0.25">
      <c r="M73" s="5"/>
    </row>
    <row r="74" spans="13:13" x14ac:dyDescent="0.25">
      <c r="M74" s="5"/>
    </row>
    <row r="75" spans="13:13" x14ac:dyDescent="0.25">
      <c r="M75" s="5"/>
    </row>
    <row r="76" spans="13:13" x14ac:dyDescent="0.25">
      <c r="M76" s="5"/>
    </row>
    <row r="77" spans="13:13" x14ac:dyDescent="0.25">
      <c r="M77" s="5"/>
    </row>
    <row r="78" spans="13:13" x14ac:dyDescent="0.25">
      <c r="M78" s="5"/>
    </row>
    <row r="79" spans="13:13" x14ac:dyDescent="0.25">
      <c r="M79" s="5"/>
    </row>
    <row r="80" spans="13:13" x14ac:dyDescent="0.25">
      <c r="M80" s="5"/>
    </row>
    <row r="81" spans="1:13" x14ac:dyDescent="0.25">
      <c r="M81" s="5"/>
    </row>
    <row r="82" spans="1:13" x14ac:dyDescent="0.25">
      <c r="M82" s="5"/>
    </row>
    <row r="83" spans="1:13" x14ac:dyDescent="0.25">
      <c r="M83" s="5"/>
    </row>
    <row r="84" spans="1:13" x14ac:dyDescent="0.25">
      <c r="M84" s="5"/>
    </row>
    <row r="85" spans="1:13" x14ac:dyDescent="0.25">
      <c r="A85" t="s">
        <v>9</v>
      </c>
      <c r="M85" s="5"/>
    </row>
    <row r="86" spans="1:13" x14ac:dyDescent="0.25">
      <c r="A86" t="s">
        <v>9</v>
      </c>
      <c r="M86" s="5"/>
    </row>
    <row r="87" spans="1:13" x14ac:dyDescent="0.25">
      <c r="A87" t="s">
        <v>9</v>
      </c>
      <c r="M87" s="5"/>
    </row>
    <row r="88" spans="1:13" x14ac:dyDescent="0.25">
      <c r="A88" t="s">
        <v>9</v>
      </c>
      <c r="M88" s="5"/>
    </row>
    <row r="89" spans="1:13" x14ac:dyDescent="0.25">
      <c r="A89" t="s">
        <v>9</v>
      </c>
      <c r="M89" s="5"/>
    </row>
    <row r="90" spans="1:13" x14ac:dyDescent="0.25">
      <c r="A90" t="s">
        <v>9</v>
      </c>
      <c r="M90" s="5"/>
    </row>
    <row r="91" spans="1:13" x14ac:dyDescent="0.25">
      <c r="A91" t="s">
        <v>9</v>
      </c>
      <c r="M91" s="5"/>
    </row>
    <row r="92" spans="1:13" x14ac:dyDescent="0.25">
      <c r="A92" t="s">
        <v>9</v>
      </c>
      <c r="M92" s="5"/>
    </row>
    <row r="93" spans="1:13" x14ac:dyDescent="0.25">
      <c r="A93" t="s">
        <v>9</v>
      </c>
      <c r="M93" s="5"/>
    </row>
    <row r="94" spans="1:13" x14ac:dyDescent="0.25">
      <c r="A94" t="s">
        <v>9</v>
      </c>
      <c r="M94" s="5"/>
    </row>
    <row r="95" spans="1:13" x14ac:dyDescent="0.25">
      <c r="A95" t="s">
        <v>9</v>
      </c>
      <c r="M95" s="5"/>
    </row>
    <row r="96" spans="1:13" x14ac:dyDescent="0.25">
      <c r="A96" t="s">
        <v>9</v>
      </c>
      <c r="M96" s="5"/>
    </row>
    <row r="97" spans="1:13" x14ac:dyDescent="0.25">
      <c r="A97" t="s">
        <v>9</v>
      </c>
      <c r="M97" s="5"/>
    </row>
    <row r="98" spans="1:13" x14ac:dyDescent="0.25">
      <c r="A98" t="s">
        <v>9</v>
      </c>
      <c r="M98" s="5"/>
    </row>
    <row r="99" spans="1:13" x14ac:dyDescent="0.25">
      <c r="A99" t="s">
        <v>9</v>
      </c>
      <c r="M99" s="5"/>
    </row>
    <row r="100" spans="1:13" x14ac:dyDescent="0.25">
      <c r="M100" s="5"/>
    </row>
    <row r="101" spans="1:13" x14ac:dyDescent="0.25">
      <c r="M101" s="5"/>
    </row>
    <row r="102" spans="1:13" x14ac:dyDescent="0.25">
      <c r="M102" s="5"/>
    </row>
    <row r="103" spans="1:13" x14ac:dyDescent="0.25">
      <c r="M103" s="5"/>
    </row>
    <row r="104" spans="1:13" x14ac:dyDescent="0.25">
      <c r="M104" s="5"/>
    </row>
    <row r="105" spans="1:13" x14ac:dyDescent="0.25">
      <c r="M105" s="5"/>
    </row>
    <row r="106" spans="1:13" x14ac:dyDescent="0.25">
      <c r="M106" s="5"/>
    </row>
    <row r="107" spans="1:13" x14ac:dyDescent="0.25">
      <c r="M107" s="5"/>
    </row>
    <row r="108" spans="1:13" x14ac:dyDescent="0.25">
      <c r="M108" s="5"/>
    </row>
    <row r="109" spans="1:13" x14ac:dyDescent="0.25">
      <c r="M109" s="5"/>
    </row>
    <row r="110" spans="1:13" x14ac:dyDescent="0.25">
      <c r="M110" s="5"/>
    </row>
    <row r="111" spans="1:13" x14ac:dyDescent="0.25">
      <c r="M111" s="5"/>
    </row>
    <row r="112" spans="1:13" x14ac:dyDescent="0.25">
      <c r="M112" s="5"/>
    </row>
    <row r="113" spans="13:13" x14ac:dyDescent="0.25">
      <c r="M113" s="5"/>
    </row>
    <row r="114" spans="13:13" x14ac:dyDescent="0.25">
      <c r="M114" s="5"/>
    </row>
    <row r="115" spans="13:13" x14ac:dyDescent="0.25">
      <c r="M115" s="5"/>
    </row>
    <row r="116" spans="13:13" x14ac:dyDescent="0.25">
      <c r="M116" s="5"/>
    </row>
    <row r="117" spans="13:13" x14ac:dyDescent="0.25">
      <c r="M117" s="5"/>
    </row>
    <row r="118" spans="13:13" x14ac:dyDescent="0.25">
      <c r="M118" s="5"/>
    </row>
    <row r="119" spans="13:13" x14ac:dyDescent="0.25">
      <c r="M119" s="5"/>
    </row>
    <row r="120" spans="13:13" x14ac:dyDescent="0.25">
      <c r="M120" s="5"/>
    </row>
    <row r="121" spans="13:13" x14ac:dyDescent="0.25">
      <c r="M121" s="5"/>
    </row>
    <row r="122" spans="13:13" x14ac:dyDescent="0.25">
      <c r="M122" s="5"/>
    </row>
    <row r="123" spans="13:13" x14ac:dyDescent="0.25">
      <c r="M123" s="5"/>
    </row>
    <row r="124" spans="13:13" x14ac:dyDescent="0.25">
      <c r="M124" s="5"/>
    </row>
    <row r="125" spans="13:13" x14ac:dyDescent="0.25">
      <c r="M125" s="5"/>
    </row>
    <row r="126" spans="13:13" x14ac:dyDescent="0.25">
      <c r="M126" s="5"/>
    </row>
    <row r="127" spans="13:13" x14ac:dyDescent="0.25">
      <c r="M127" s="5"/>
    </row>
    <row r="128" spans="13:13" x14ac:dyDescent="0.25">
      <c r="M128" s="5"/>
    </row>
    <row r="129" spans="13:13" x14ac:dyDescent="0.25">
      <c r="M129" s="5"/>
    </row>
    <row r="130" spans="13:13" x14ac:dyDescent="0.25">
      <c r="M130" s="5"/>
    </row>
    <row r="131" spans="13:13" x14ac:dyDescent="0.25">
      <c r="M131" s="5"/>
    </row>
    <row r="132" spans="13:13" x14ac:dyDescent="0.25">
      <c r="M132" s="5"/>
    </row>
    <row r="133" spans="13:13" x14ac:dyDescent="0.25">
      <c r="M133" s="5"/>
    </row>
    <row r="134" spans="13:13" x14ac:dyDescent="0.25">
      <c r="M134" s="5"/>
    </row>
    <row r="135" spans="13:13" x14ac:dyDescent="0.25">
      <c r="M135" s="5"/>
    </row>
    <row r="136" spans="13:13" x14ac:dyDescent="0.25">
      <c r="M136" s="5"/>
    </row>
    <row r="137" spans="13:13" x14ac:dyDescent="0.25">
      <c r="M137" s="5"/>
    </row>
    <row r="138" spans="13:13" x14ac:dyDescent="0.25">
      <c r="M138" s="5"/>
    </row>
    <row r="139" spans="13:13" x14ac:dyDescent="0.25">
      <c r="M139" s="5"/>
    </row>
    <row r="140" spans="13:13" x14ac:dyDescent="0.25">
      <c r="M140" s="5"/>
    </row>
    <row r="141" spans="13:13" x14ac:dyDescent="0.25">
      <c r="M141" s="5"/>
    </row>
    <row r="142" spans="13:13" x14ac:dyDescent="0.25">
      <c r="M142" s="5"/>
    </row>
    <row r="143" spans="13:13" x14ac:dyDescent="0.25">
      <c r="M143" s="5"/>
    </row>
    <row r="144" spans="13:13" x14ac:dyDescent="0.25">
      <c r="M144" s="5"/>
    </row>
    <row r="145" spans="13:13" x14ac:dyDescent="0.25">
      <c r="M145" s="5"/>
    </row>
    <row r="146" spans="13:13" x14ac:dyDescent="0.25">
      <c r="M146" s="5"/>
    </row>
    <row r="147" spans="13:13" x14ac:dyDescent="0.25">
      <c r="M147" s="5"/>
    </row>
    <row r="148" spans="13:13" x14ac:dyDescent="0.25">
      <c r="M148" s="5"/>
    </row>
    <row r="149" spans="13:13" x14ac:dyDescent="0.25">
      <c r="M149" s="5" t="s">
        <v>5</v>
      </c>
    </row>
    <row r="150" spans="13:13" x14ac:dyDescent="0.25">
      <c r="M150" s="5" t="s">
        <v>6</v>
      </c>
    </row>
    <row r="151" spans="13:13" x14ac:dyDescent="0.25">
      <c r="M151" s="5" t="s">
        <v>7</v>
      </c>
    </row>
  </sheetData>
  <phoneticPr fontId="2" type="noConversion"/>
  <dataValidations count="1">
    <dataValidation type="whole" allowBlank="1" showInputMessage="1" showErrorMessage="1" errorTitle="Error de Ingreso " error="Los datos no estan permitidos" sqref="F5:F14" xr:uid="{00000000-0002-0000-0200-000000000000}">
      <formula1>0</formula1>
      <formula2>1000000000000000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lamar">
                <anchor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3</xdr:col>
                    <xdr:colOff>1076325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VOLVER_MAIN_ventas">
                <anchor>
                  <from>
                    <xdr:col>3</xdr:col>
                    <xdr:colOff>0</xdr:colOff>
                    <xdr:row>6</xdr:row>
                    <xdr:rowOff>114300</xdr:rowOff>
                  </from>
                  <to>
                    <xdr:col>3</xdr:col>
                    <xdr:colOff>1076325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6:I28"/>
  <sheetViews>
    <sheetView showGridLines="0" zoomScale="96" zoomScaleNormal="96" workbookViewId="0">
      <selection activeCell="C25" sqref="C25:I30"/>
    </sheetView>
  </sheetViews>
  <sheetFormatPr baseColWidth="10" defaultRowHeight="15" x14ac:dyDescent="0.25"/>
  <cols>
    <col min="1" max="3" width="11.42578125" style="1"/>
    <col min="4" max="4" width="11" style="1" customWidth="1"/>
    <col min="5" max="5" width="10.7109375" style="1" customWidth="1"/>
    <col min="6" max="16384" width="11.42578125" style="1"/>
  </cols>
  <sheetData>
    <row r="6" spans="7:7" ht="15" customHeight="1" x14ac:dyDescent="0.25"/>
    <row r="16" spans="7:7" x14ac:dyDescent="0.25">
      <c r="G16" s="1" t="s">
        <v>8</v>
      </c>
    </row>
    <row r="17" spans="3:9" x14ac:dyDescent="0.25">
      <c r="F17" s="1" t="s">
        <v>8</v>
      </c>
    </row>
    <row r="25" spans="3:9" x14ac:dyDescent="0.25">
      <c r="C25" s="35"/>
      <c r="D25" s="35"/>
      <c r="E25" s="35"/>
      <c r="F25" s="35"/>
      <c r="G25" s="35"/>
      <c r="H25" s="35"/>
      <c r="I25" s="35"/>
    </row>
    <row r="26" spans="3:9" x14ac:dyDescent="0.25">
      <c r="C26" s="35"/>
      <c r="D26" s="35"/>
      <c r="E26" s="35"/>
      <c r="F26" s="35"/>
      <c r="G26" s="35"/>
      <c r="H26" s="35"/>
      <c r="I26" s="35"/>
    </row>
    <row r="27" spans="3:9" x14ac:dyDescent="0.25">
      <c r="C27" s="35"/>
      <c r="D27" s="35"/>
      <c r="E27" s="35"/>
      <c r="F27" s="35"/>
      <c r="G27" s="35"/>
      <c r="H27" s="35"/>
      <c r="I27" s="35"/>
    </row>
    <row r="28" spans="3:9" x14ac:dyDescent="0.25">
      <c r="C28" s="35"/>
      <c r="D28" s="35"/>
      <c r="E28" s="35"/>
      <c r="F28" s="35"/>
      <c r="G28" s="35"/>
      <c r="H28" s="35"/>
      <c r="I28" s="35"/>
    </row>
  </sheetData>
  <mergeCells count="1">
    <mergeCell ref="C25:I2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ListBox1">
          <controlPr defaultSize="0" autoLine="0" autoPict="0" r:id="rId5">
            <anchor moveWithCells="1">
              <from>
                <xdr:col>4</xdr:col>
                <xdr:colOff>685800</xdr:colOff>
                <xdr:row>6</xdr:row>
                <xdr:rowOff>171450</xdr:rowOff>
              </from>
              <to>
                <xdr:col>10</xdr:col>
                <xdr:colOff>647700</xdr:colOff>
                <xdr:row>15</xdr:row>
                <xdr:rowOff>133350</xdr:rowOff>
              </to>
            </anchor>
          </controlPr>
        </control>
      </mc:Choice>
      <mc:Fallback>
        <control shapeId="1046" r:id="rId4" name="ListBox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>
            <anchor>
              <from>
                <xdr:col>2</xdr:col>
                <xdr:colOff>247650</xdr:colOff>
                <xdr:row>7</xdr:row>
                <xdr:rowOff>66675</xdr:rowOff>
              </from>
              <to>
                <xdr:col>4</xdr:col>
                <xdr:colOff>219075</xdr:colOff>
                <xdr:row>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" name="Button 6">
          <controlPr defaultSize="0" print="0" autoFill="0" autoPict="0">
            <anchor>
              <from>
                <xdr:col>2</xdr:col>
                <xdr:colOff>247650</xdr:colOff>
                <xdr:row>12</xdr:row>
                <xdr:rowOff>85725</xdr:rowOff>
              </from>
              <to>
                <xdr:col>4</xdr:col>
                <xdr:colOff>219075</xdr:colOff>
                <xdr:row>14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>
            <anchor>
              <from>
                <xdr:col>2</xdr:col>
                <xdr:colOff>238125</xdr:colOff>
                <xdr:row>17</xdr:row>
                <xdr:rowOff>123825</xdr:rowOff>
              </from>
              <to>
                <xdr:col>4</xdr:col>
                <xdr:colOff>209550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9" name="Button 11">
          <controlPr defaultSize="0" print="0" autoFill="0" autoPict="0">
            <anchor>
              <from>
                <xdr:col>5</xdr:col>
                <xdr:colOff>28575</xdr:colOff>
                <xdr:row>17</xdr:row>
                <xdr:rowOff>76200</xdr:rowOff>
              </from>
              <to>
                <xdr:col>6</xdr:col>
                <xdr:colOff>657225</xdr:colOff>
                <xdr:row>19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>
            <anchor>
              <from>
                <xdr:col>7</xdr:col>
                <xdr:colOff>133350</xdr:colOff>
                <xdr:row>17</xdr:row>
                <xdr:rowOff>76200</xdr:rowOff>
              </from>
              <to>
                <xdr:col>8</xdr:col>
                <xdr:colOff>695325</xdr:colOff>
                <xdr:row>19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Button 13">
          <controlPr defaultSize="0" print="0" autoFill="0" autoPict="0">
            <anchor>
              <from>
                <xdr:col>9</xdr:col>
                <xdr:colOff>123825</xdr:colOff>
                <xdr:row>17</xdr:row>
                <xdr:rowOff>66675</xdr:rowOff>
              </from>
              <to>
                <xdr:col>10</xdr:col>
                <xdr:colOff>704850</xdr:colOff>
                <xdr:row>19</xdr:row>
                <xdr:rowOff>133350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E4:L6"/>
  <sheetViews>
    <sheetView showGridLines="0" topLeftCell="B1" zoomScale="98" zoomScaleNormal="98" workbookViewId="0">
      <selection activeCell="E5" sqref="E5"/>
    </sheetView>
  </sheetViews>
  <sheetFormatPr baseColWidth="10" defaultRowHeight="15" x14ac:dyDescent="0.25"/>
  <cols>
    <col min="2" max="2" width="14.85546875" bestFit="1" customWidth="1"/>
    <col min="3" max="3" width="8" customWidth="1"/>
    <col min="4" max="4" width="11.85546875" customWidth="1"/>
    <col min="5" max="5" width="12.28515625" bestFit="1" customWidth="1"/>
    <col min="6" max="7" width="11.85546875" customWidth="1"/>
    <col min="8" max="8" width="15.85546875" bestFit="1" customWidth="1"/>
    <col min="9" max="9" width="22.5703125" customWidth="1"/>
    <col min="10" max="11" width="11.85546875" customWidth="1"/>
    <col min="12" max="12" width="16.28515625" bestFit="1" customWidth="1"/>
  </cols>
  <sheetData>
    <row r="4" spans="5:12" x14ac:dyDescent="0.25">
      <c r="E4" s="12" t="s">
        <v>22</v>
      </c>
      <c r="F4" s="13" t="s">
        <v>11</v>
      </c>
      <c r="G4" s="13" t="s">
        <v>16</v>
      </c>
      <c r="H4" s="13" t="s">
        <v>17</v>
      </c>
      <c r="I4" s="13" t="s">
        <v>18</v>
      </c>
      <c r="J4" s="13" t="s">
        <v>19</v>
      </c>
      <c r="K4" s="13" t="s">
        <v>20</v>
      </c>
      <c r="L4" s="14" t="s">
        <v>21</v>
      </c>
    </row>
    <row r="5" spans="5:12" x14ac:dyDescent="0.25">
      <c r="E5" s="15">
        <v>1</v>
      </c>
      <c r="F5" s="16">
        <v>123</v>
      </c>
      <c r="G5" s="17" t="s">
        <v>23</v>
      </c>
      <c r="H5" s="16" t="s">
        <v>7</v>
      </c>
      <c r="I5" s="16" t="s">
        <v>24</v>
      </c>
      <c r="J5" s="16">
        <v>234</v>
      </c>
      <c r="K5" s="18">
        <v>345</v>
      </c>
      <c r="L5" s="10" t="s">
        <v>25</v>
      </c>
    </row>
    <row r="6" spans="5:12" x14ac:dyDescent="0.25">
      <c r="E6" s="19"/>
      <c r="F6" s="2"/>
      <c r="G6" s="3"/>
      <c r="H6" s="2"/>
      <c r="I6" s="2"/>
      <c r="J6" s="6"/>
      <c r="K6" s="4"/>
      <c r="L6" s="10"/>
    </row>
  </sheetData>
  <dataValidations count="1">
    <dataValidation type="whole" allowBlank="1" showInputMessage="1" showErrorMessage="1" errorTitle="Error de Ingreso " error="Los datos no estan permitidos" sqref="F6" xr:uid="{00000000-0002-0000-0300-000000000000}">
      <formula1>0</formula1>
      <formula2>1000000000000000</formula2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04E74-6F8A-4DD2-BCE9-6A35280A7A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Ventas</vt:lpstr>
      <vt:lpstr>INVENTARIO</vt:lpstr>
      <vt:lpstr>Main</vt:lpstr>
      <vt:lpstr>Cierre</vt:lpstr>
      <vt:lpstr>TABLA_CIERRE</vt:lpstr>
      <vt:lpstr>TABLA_VENTAS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2022-08-23T14:54:49Z</dcterms:created>
  <dcterms:modified xsi:type="dcterms:W3CDTF">2022-10-05T01:14:00Z</dcterms:modified>
</cp:coreProperties>
</file>