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6FBBFFD9-802E-46BE-8657-6C8BED3E2966}" xr6:coauthVersionLast="47" xr6:coauthVersionMax="47" xr10:uidLastSave="{00000000-0000-0000-0000-000000000000}"/>
  <bookViews>
    <workbookView xWindow="3045" yWindow="2325" windowWidth="15375" windowHeight="7785" activeTab="1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5" l="1"/>
  <c r="E5" i="5"/>
  <c r="F5" i="5"/>
  <c r="C3" i="2"/>
  <c r="H3" i="2" s="1"/>
  <c r="C4" i="2"/>
  <c r="H4" i="2" s="1"/>
  <c r="C5" i="2"/>
  <c r="H5" i="2" s="1"/>
  <c r="C6" i="2"/>
  <c r="H6" i="2" s="1"/>
  <c r="C7" i="2"/>
  <c r="H7" i="2" s="1"/>
  <c r="C8" i="2"/>
  <c r="H8" i="2" s="1"/>
  <c r="C9" i="2"/>
  <c r="H9" i="2" s="1"/>
  <c r="C10" i="2"/>
  <c r="H10" i="2" s="1"/>
  <c r="C11" i="2"/>
  <c r="H11" i="2" s="1"/>
  <c r="C12" i="2"/>
  <c r="H12" i="2" s="1"/>
  <c r="C13" i="2"/>
  <c r="H13" i="2" s="1"/>
  <c r="C14" i="2"/>
  <c r="H14" i="2" s="1"/>
  <c r="C15" i="2"/>
  <c r="H15" i="2" s="1"/>
  <c r="C16" i="2"/>
  <c r="H16" i="2" s="1"/>
  <c r="C17" i="2"/>
  <c r="H17" i="2" s="1"/>
  <c r="C18" i="2"/>
  <c r="H18" i="2" s="1"/>
  <c r="C19" i="2"/>
  <c r="H19" i="2" s="1"/>
  <c r="C20" i="2"/>
  <c r="H20" i="2" s="1"/>
  <c r="C21" i="2"/>
  <c r="H21" i="2" s="1"/>
  <c r="C22" i="2"/>
  <c r="H22" i="2" s="1"/>
  <c r="C23" i="2"/>
  <c r="H23" i="2" s="1"/>
  <c r="C24" i="2"/>
  <c r="H24" i="2" s="1"/>
  <c r="C25" i="2"/>
  <c r="H25" i="2" s="1"/>
  <c r="C26" i="2"/>
  <c r="H26" i="2" s="1"/>
  <c r="C27" i="2"/>
  <c r="H27" i="2" s="1"/>
  <c r="C28" i="2"/>
  <c r="H28" i="2" s="1"/>
  <c r="C29" i="2"/>
  <c r="H29" i="2" s="1"/>
  <c r="C30" i="2"/>
  <c r="H30" i="2" s="1"/>
  <c r="C31" i="2"/>
  <c r="H31" i="2" s="1"/>
  <c r="C32" i="2"/>
  <c r="H32" i="2" s="1"/>
  <c r="C33" i="2"/>
  <c r="H33" i="2" s="1"/>
  <c r="C34" i="2"/>
  <c r="H34" i="2" s="1"/>
  <c r="C35" i="2"/>
  <c r="H35" i="2" s="1"/>
  <c r="C36" i="2"/>
  <c r="H36" i="2" s="1"/>
  <c r="C37" i="2"/>
  <c r="H37" i="2" s="1"/>
  <c r="C38" i="2"/>
  <c r="H38" i="2" s="1"/>
  <c r="C39" i="2"/>
  <c r="H39" i="2" s="1"/>
  <c r="C40" i="2"/>
  <c r="H40" i="2" s="1"/>
  <c r="C41" i="2"/>
  <c r="H41" i="2" s="1"/>
  <c r="C42" i="2"/>
  <c r="H42" i="2" s="1"/>
  <c r="C43" i="2"/>
  <c r="H43" i="2" s="1"/>
  <c r="C44" i="2"/>
  <c r="H44" i="2" s="1"/>
  <c r="C45" i="2"/>
  <c r="H45" i="2" s="1"/>
  <c r="C46" i="2"/>
  <c r="H46" i="2" s="1"/>
  <c r="C47" i="2"/>
  <c r="H47" i="2" s="1"/>
  <c r="C48" i="2"/>
  <c r="H48" i="2" s="1"/>
  <c r="C49" i="2"/>
  <c r="H49" i="2" s="1"/>
  <c r="C50" i="2"/>
  <c r="H50" i="2" s="1"/>
  <c r="C51" i="2"/>
  <c r="H51" i="2" s="1"/>
  <c r="C52" i="2"/>
  <c r="H52" i="2" s="1"/>
  <c r="C53" i="2"/>
  <c r="H53" i="2" s="1"/>
  <c r="C54" i="2"/>
  <c r="H54" i="2" s="1"/>
  <c r="C55" i="2"/>
  <c r="H55" i="2" s="1"/>
  <c r="C56" i="2"/>
  <c r="H56" i="2" s="1"/>
  <c r="C57" i="2"/>
  <c r="H57" i="2" s="1"/>
  <c r="C58" i="2"/>
  <c r="H58" i="2" s="1"/>
  <c r="C59" i="2"/>
  <c r="H59" i="2" s="1"/>
  <c r="C60" i="2"/>
  <c r="H60" i="2" s="1"/>
  <c r="C61" i="2"/>
  <c r="H61" i="2" s="1"/>
  <c r="C62" i="2"/>
  <c r="H62" i="2" s="1"/>
  <c r="C63" i="2"/>
  <c r="H63" i="2" s="1"/>
  <c r="C64" i="2"/>
  <c r="H64" i="2" s="1"/>
  <c r="C65" i="2"/>
  <c r="H65" i="2" s="1"/>
  <c r="C66" i="2"/>
  <c r="H66" i="2" s="1"/>
  <c r="C67" i="2"/>
  <c r="H67" i="2" s="1"/>
  <c r="C68" i="2"/>
  <c r="H68" i="2" s="1"/>
  <c r="C69" i="2"/>
  <c r="H69" i="2" s="1"/>
  <c r="C70" i="2"/>
  <c r="H70" i="2" s="1"/>
  <c r="C71" i="2"/>
  <c r="H71" i="2" s="1"/>
  <c r="C72" i="2"/>
  <c r="H72" i="2" s="1"/>
  <c r="C73" i="2"/>
  <c r="H73" i="2" s="1"/>
  <c r="C74" i="2"/>
  <c r="H74" i="2" s="1"/>
  <c r="C75" i="2"/>
  <c r="H75" i="2" s="1"/>
  <c r="C76" i="2"/>
  <c r="H76" i="2" s="1"/>
  <c r="C77" i="2"/>
  <c r="H77" i="2" s="1"/>
  <c r="C78" i="2"/>
  <c r="H78" i="2" s="1"/>
  <c r="C79" i="2"/>
  <c r="H79" i="2" s="1"/>
  <c r="C80" i="2"/>
  <c r="H80" i="2" s="1"/>
  <c r="C81" i="2"/>
  <c r="H81" i="2" s="1"/>
  <c r="C82" i="2"/>
  <c r="H82" i="2" s="1"/>
  <c r="C83" i="2"/>
  <c r="H83" i="2" s="1"/>
  <c r="C84" i="2"/>
  <c r="H84" i="2" s="1"/>
  <c r="C85" i="2"/>
  <c r="H85" i="2" s="1"/>
  <c r="C86" i="2"/>
  <c r="H86" i="2" s="1"/>
  <c r="C87" i="2"/>
  <c r="H87" i="2" s="1"/>
  <c r="C88" i="2"/>
  <c r="H88" i="2" s="1"/>
  <c r="C89" i="2"/>
  <c r="H89" i="2" s="1"/>
  <c r="C90" i="2"/>
  <c r="H90" i="2" s="1"/>
  <c r="C91" i="2"/>
  <c r="H91" i="2" s="1"/>
  <c r="C92" i="2"/>
  <c r="H92" i="2" s="1"/>
  <c r="C93" i="2"/>
  <c r="H93" i="2" s="1"/>
  <c r="C94" i="2"/>
  <c r="H94" i="2" s="1"/>
  <c r="C95" i="2"/>
  <c r="H95" i="2" s="1"/>
  <c r="C96" i="2"/>
  <c r="H96" i="2" s="1"/>
  <c r="C97" i="2"/>
  <c r="H97" i="2" s="1"/>
  <c r="C98" i="2"/>
  <c r="H98" i="2" s="1"/>
  <c r="C99" i="2"/>
  <c r="H99" i="2" s="1"/>
  <c r="C100" i="2"/>
  <c r="H100" i="2" s="1"/>
  <c r="C101" i="2"/>
  <c r="H101" i="2" s="1"/>
  <c r="C102" i="2"/>
  <c r="H102" i="2" s="1"/>
  <c r="C103" i="2"/>
  <c r="H103" i="2" s="1"/>
  <c r="C104" i="2"/>
  <c r="H104" i="2" s="1"/>
  <c r="C105" i="2"/>
  <c r="H105" i="2" s="1"/>
  <c r="C106" i="2"/>
  <c r="H106" i="2" s="1"/>
  <c r="C107" i="2"/>
  <c r="H107" i="2" s="1"/>
  <c r="C108" i="2"/>
  <c r="H108" i="2" s="1"/>
  <c r="C109" i="2"/>
  <c r="H109" i="2" s="1"/>
  <c r="C110" i="2"/>
  <c r="H110" i="2" s="1"/>
  <c r="C111" i="2"/>
  <c r="H111" i="2" s="1"/>
  <c r="C112" i="2"/>
  <c r="H112" i="2" s="1"/>
  <c r="C113" i="2"/>
  <c r="H113" i="2" s="1"/>
  <c r="C114" i="2"/>
  <c r="H114" i="2" s="1"/>
  <c r="C115" i="2"/>
  <c r="H115" i="2" s="1"/>
  <c r="C116" i="2"/>
  <c r="H116" i="2" s="1"/>
  <c r="C117" i="2"/>
  <c r="H117" i="2" s="1"/>
  <c r="C118" i="2"/>
  <c r="H118" i="2" s="1"/>
  <c r="C119" i="2"/>
  <c r="H119" i="2" s="1"/>
  <c r="C120" i="2"/>
  <c r="H120" i="2" s="1"/>
  <c r="C121" i="2"/>
  <c r="H121" i="2" s="1"/>
  <c r="C122" i="2"/>
  <c r="H122" i="2" s="1"/>
  <c r="C123" i="2"/>
  <c r="H123" i="2" s="1"/>
  <c r="C124" i="2"/>
  <c r="H124" i="2" s="1"/>
  <c r="C125" i="2"/>
  <c r="H125" i="2" s="1"/>
  <c r="C126" i="2"/>
  <c r="H126" i="2" s="1"/>
  <c r="C127" i="2"/>
  <c r="H127" i="2" s="1"/>
  <c r="C128" i="2"/>
  <c r="H128" i="2" s="1"/>
  <c r="C129" i="2"/>
  <c r="H129" i="2" s="1"/>
  <c r="C130" i="2"/>
  <c r="H130" i="2" s="1"/>
  <c r="C131" i="2"/>
  <c r="H131" i="2" s="1"/>
  <c r="C132" i="2"/>
  <c r="H132" i="2" s="1"/>
  <c r="C133" i="2"/>
  <c r="H133" i="2" s="1"/>
  <c r="C134" i="2"/>
  <c r="H134" i="2" s="1"/>
  <c r="C135" i="2"/>
  <c r="H135" i="2" s="1"/>
  <c r="C136" i="2"/>
  <c r="H136" i="2" s="1"/>
  <c r="C137" i="2"/>
  <c r="H137" i="2" s="1"/>
  <c r="C138" i="2"/>
  <c r="H138" i="2" s="1"/>
  <c r="C139" i="2"/>
  <c r="H139" i="2" s="1"/>
  <c r="C140" i="2"/>
  <c r="H140" i="2" s="1"/>
  <c r="C141" i="2"/>
  <c r="H141" i="2" s="1"/>
  <c r="C142" i="2"/>
  <c r="H142" i="2" s="1"/>
  <c r="C143" i="2"/>
  <c r="H143" i="2" s="1"/>
  <c r="C144" i="2"/>
  <c r="H144" i="2" s="1"/>
  <c r="C145" i="2"/>
  <c r="H145" i="2" s="1"/>
  <c r="C146" i="2"/>
  <c r="H146" i="2" s="1"/>
  <c r="C147" i="2"/>
  <c r="H147" i="2" s="1"/>
  <c r="C148" i="2"/>
  <c r="H148" i="2" s="1"/>
  <c r="C149" i="2"/>
  <c r="H149" i="2" s="1"/>
  <c r="C150" i="2"/>
  <c r="H150" i="2" s="1"/>
  <c r="C151" i="2"/>
  <c r="H151" i="2" s="1"/>
  <c r="C152" i="2"/>
  <c r="H152" i="2" s="1"/>
  <c r="C153" i="2"/>
  <c r="H153" i="2" s="1"/>
  <c r="C154" i="2"/>
  <c r="H154" i="2" s="1"/>
  <c r="C155" i="2"/>
  <c r="H155" i="2" s="1"/>
  <c r="C156" i="2"/>
  <c r="H156" i="2" s="1"/>
  <c r="C157" i="2"/>
  <c r="H157" i="2" s="1"/>
  <c r="C158" i="2"/>
  <c r="H158" i="2" s="1"/>
  <c r="C159" i="2"/>
  <c r="H159" i="2" s="1"/>
  <c r="C160" i="2"/>
  <c r="H160" i="2" s="1"/>
  <c r="C161" i="2"/>
  <c r="H161" i="2" s="1"/>
  <c r="C162" i="2"/>
  <c r="H162" i="2" s="1"/>
  <c r="C163" i="2"/>
  <c r="H163" i="2" s="1"/>
  <c r="C164" i="2"/>
  <c r="H164" i="2" s="1"/>
  <c r="C165" i="2"/>
  <c r="H165" i="2" s="1"/>
  <c r="C166" i="2"/>
  <c r="H166" i="2" s="1"/>
  <c r="C167" i="2"/>
  <c r="H167" i="2" s="1"/>
  <c r="C168" i="2"/>
  <c r="H168" i="2" s="1"/>
  <c r="C169" i="2"/>
  <c r="H169" i="2" s="1"/>
  <c r="C170" i="2"/>
  <c r="H170" i="2" s="1"/>
  <c r="C171" i="2"/>
  <c r="H171" i="2" s="1"/>
  <c r="C172" i="2"/>
  <c r="H172" i="2" s="1"/>
  <c r="C173" i="2"/>
  <c r="H173" i="2" s="1"/>
  <c r="C174" i="2"/>
  <c r="H174" i="2" s="1"/>
  <c r="C175" i="2"/>
  <c r="H175" i="2" s="1"/>
  <c r="C176" i="2"/>
  <c r="H176" i="2" s="1"/>
  <c r="C177" i="2"/>
  <c r="H177" i="2" s="1"/>
  <c r="C178" i="2"/>
  <c r="H178" i="2" s="1"/>
  <c r="C179" i="2"/>
  <c r="H179" i="2" s="1"/>
  <c r="C180" i="2"/>
  <c r="H180" i="2" s="1"/>
  <c r="C181" i="2"/>
  <c r="H181" i="2" s="1"/>
  <c r="C182" i="2"/>
  <c r="H182" i="2" s="1"/>
  <c r="C183" i="2"/>
  <c r="H183" i="2" s="1"/>
  <c r="C184" i="2"/>
  <c r="H184" i="2" s="1"/>
  <c r="C185" i="2"/>
  <c r="H185" i="2" s="1"/>
  <c r="C186" i="2"/>
  <c r="H186" i="2" s="1"/>
  <c r="C187" i="2"/>
  <c r="H187" i="2" s="1"/>
  <c r="C188" i="2"/>
  <c r="H188" i="2" s="1"/>
  <c r="C189" i="2"/>
  <c r="H189" i="2" s="1"/>
  <c r="C190" i="2"/>
  <c r="H190" i="2" s="1"/>
  <c r="C191" i="2"/>
  <c r="H191" i="2" s="1"/>
  <c r="C192" i="2"/>
  <c r="H192" i="2" s="1"/>
  <c r="C193" i="2"/>
  <c r="H193" i="2" s="1"/>
  <c r="C194" i="2"/>
  <c r="H194" i="2" s="1"/>
  <c r="C195" i="2"/>
  <c r="H195" i="2" s="1"/>
  <c r="C196" i="2"/>
  <c r="H196" i="2" s="1"/>
  <c r="C197" i="2"/>
  <c r="H197" i="2" s="1"/>
  <c r="C198" i="2"/>
  <c r="H198" i="2" s="1"/>
  <c r="C199" i="2"/>
  <c r="H199" i="2" s="1"/>
  <c r="C200" i="2"/>
  <c r="H200" i="2" s="1"/>
  <c r="C201" i="2"/>
  <c r="H201" i="2" s="1"/>
  <c r="C202" i="2"/>
  <c r="H202" i="2" s="1"/>
  <c r="C203" i="2"/>
  <c r="H203" i="2" s="1"/>
  <c r="C204" i="2"/>
  <c r="H204" i="2" s="1"/>
  <c r="C205" i="2"/>
  <c r="H205" i="2" s="1"/>
  <c r="C206" i="2"/>
  <c r="H206" i="2" s="1"/>
  <c r="C207" i="2"/>
  <c r="H207" i="2" s="1"/>
  <c r="C208" i="2"/>
  <c r="H208" i="2" s="1"/>
  <c r="C209" i="2"/>
  <c r="H209" i="2" s="1"/>
  <c r="C210" i="2"/>
  <c r="H210" i="2" s="1"/>
  <c r="C211" i="2"/>
  <c r="H211" i="2" s="1"/>
  <c r="C212" i="2"/>
  <c r="H212" i="2" s="1"/>
  <c r="C213" i="2"/>
  <c r="H213" i="2" s="1"/>
  <c r="C214" i="2"/>
  <c r="H214" i="2" s="1"/>
  <c r="C215" i="2"/>
  <c r="H215" i="2" s="1"/>
  <c r="C216" i="2"/>
  <c r="H216" i="2" s="1"/>
  <c r="C217" i="2"/>
  <c r="H217" i="2" s="1"/>
  <c r="C218" i="2"/>
  <c r="H218" i="2" s="1"/>
  <c r="C219" i="2"/>
  <c r="H219" i="2" s="1"/>
  <c r="C220" i="2"/>
  <c r="H220" i="2" s="1"/>
  <c r="C221" i="2"/>
  <c r="H221" i="2" s="1"/>
  <c r="C222" i="2"/>
  <c r="H222" i="2" s="1"/>
  <c r="C223" i="2"/>
  <c r="H223" i="2" s="1"/>
  <c r="C224" i="2"/>
  <c r="H224" i="2" s="1"/>
  <c r="C225" i="2"/>
  <c r="H225" i="2" s="1"/>
  <c r="C226" i="2"/>
  <c r="H226" i="2" s="1"/>
  <c r="C227" i="2"/>
  <c r="H227" i="2" s="1"/>
  <c r="C228" i="2"/>
  <c r="H228" i="2" s="1"/>
  <c r="C229" i="2"/>
  <c r="H229" i="2" s="1"/>
  <c r="C230" i="2"/>
  <c r="H230" i="2" s="1"/>
  <c r="C231" i="2"/>
  <c r="H231" i="2" s="1"/>
  <c r="C232" i="2"/>
  <c r="H232" i="2" s="1"/>
  <c r="C233" i="2"/>
  <c r="H233" i="2" s="1"/>
  <c r="C234" i="2"/>
  <c r="H234" i="2" s="1"/>
  <c r="C235" i="2"/>
  <c r="H235" i="2" s="1"/>
  <c r="C236" i="2"/>
  <c r="H236" i="2" s="1"/>
  <c r="C237" i="2"/>
  <c r="H237" i="2" s="1"/>
  <c r="C238" i="2"/>
  <c r="H238" i="2" s="1"/>
  <c r="C239" i="2"/>
  <c r="H239" i="2" s="1"/>
  <c r="C240" i="2"/>
  <c r="H240" i="2" s="1"/>
  <c r="C241" i="2"/>
  <c r="H241" i="2" s="1"/>
  <c r="C242" i="2"/>
  <c r="H242" i="2" s="1"/>
  <c r="C243" i="2"/>
  <c r="H243" i="2" s="1"/>
  <c r="C244" i="2"/>
  <c r="H244" i="2" s="1"/>
  <c r="C245" i="2"/>
  <c r="H245" i="2" s="1"/>
  <c r="C246" i="2"/>
  <c r="H246" i="2" s="1"/>
  <c r="C247" i="2"/>
  <c r="H247" i="2" s="1"/>
  <c r="C248" i="2"/>
  <c r="H248" i="2" s="1"/>
  <c r="C249" i="2"/>
  <c r="H249" i="2" s="1"/>
  <c r="C250" i="2"/>
  <c r="H250" i="2" s="1"/>
  <c r="C251" i="2"/>
  <c r="H251" i="2" s="1"/>
  <c r="C252" i="2"/>
  <c r="H252" i="2" s="1"/>
  <c r="C253" i="2"/>
  <c r="H253" i="2" s="1"/>
  <c r="C254" i="2"/>
  <c r="H254" i="2" s="1"/>
  <c r="C255" i="2"/>
  <c r="H255" i="2" s="1"/>
  <c r="C256" i="2"/>
  <c r="H256" i="2" s="1"/>
  <c r="C257" i="2"/>
  <c r="H257" i="2" s="1"/>
  <c r="C258" i="2"/>
  <c r="H258" i="2" s="1"/>
  <c r="C259" i="2"/>
  <c r="H259" i="2" s="1"/>
  <c r="C260" i="2"/>
  <c r="H260" i="2" s="1"/>
  <c r="C261" i="2"/>
  <c r="H261" i="2" s="1"/>
  <c r="C262" i="2"/>
  <c r="H262" i="2" s="1"/>
  <c r="C263" i="2"/>
  <c r="H263" i="2" s="1"/>
  <c r="C264" i="2"/>
  <c r="H264" i="2" s="1"/>
  <c r="C265" i="2"/>
  <c r="H265" i="2" s="1"/>
  <c r="C266" i="2"/>
  <c r="H266" i="2" s="1"/>
  <c r="C267" i="2"/>
  <c r="H267" i="2" s="1"/>
  <c r="C268" i="2"/>
  <c r="H268" i="2" s="1"/>
  <c r="C269" i="2"/>
  <c r="H269" i="2" s="1"/>
  <c r="C270" i="2"/>
  <c r="H270" i="2" s="1"/>
  <c r="C271" i="2"/>
  <c r="H271" i="2" s="1"/>
  <c r="C272" i="2"/>
  <c r="H272" i="2" s="1"/>
  <c r="C273" i="2"/>
  <c r="H273" i="2" s="1"/>
  <c r="C274" i="2"/>
  <c r="H274" i="2" s="1"/>
  <c r="C275" i="2"/>
  <c r="H275" i="2" s="1"/>
  <c r="C276" i="2"/>
  <c r="H276" i="2" s="1"/>
  <c r="C277" i="2"/>
  <c r="H277" i="2" s="1"/>
  <c r="C278" i="2"/>
  <c r="H278" i="2" s="1"/>
  <c r="C279" i="2"/>
  <c r="H279" i="2" s="1"/>
  <c r="C280" i="2"/>
  <c r="H280" i="2" s="1"/>
  <c r="C281" i="2"/>
  <c r="H281" i="2" s="1"/>
  <c r="C282" i="2"/>
  <c r="H282" i="2" s="1"/>
  <c r="C283" i="2"/>
  <c r="H283" i="2" s="1"/>
  <c r="C284" i="2"/>
  <c r="H284" i="2" s="1"/>
  <c r="C285" i="2"/>
  <c r="H285" i="2" s="1"/>
  <c r="C286" i="2"/>
  <c r="H286" i="2" s="1"/>
  <c r="C287" i="2"/>
  <c r="H287" i="2" s="1"/>
  <c r="C288" i="2"/>
  <c r="H288" i="2" s="1"/>
  <c r="C289" i="2"/>
  <c r="H289" i="2" s="1"/>
  <c r="C290" i="2"/>
  <c r="H290" i="2" s="1"/>
  <c r="C291" i="2"/>
  <c r="H291" i="2" s="1"/>
  <c r="C292" i="2"/>
  <c r="H292" i="2" s="1"/>
  <c r="C293" i="2"/>
  <c r="H293" i="2" s="1"/>
  <c r="C294" i="2"/>
  <c r="H294" i="2" s="1"/>
  <c r="C295" i="2"/>
  <c r="H295" i="2" s="1"/>
  <c r="C296" i="2"/>
  <c r="H296" i="2" s="1"/>
  <c r="C297" i="2"/>
  <c r="H297" i="2" s="1"/>
  <c r="C298" i="2"/>
  <c r="H298" i="2" s="1"/>
  <c r="C299" i="2"/>
  <c r="H299" i="2" s="1"/>
  <c r="C300" i="2"/>
  <c r="H300" i="2" s="1"/>
  <c r="C301" i="2"/>
  <c r="H301" i="2" s="1"/>
  <c r="C302" i="2"/>
  <c r="H302" i="2" s="1"/>
  <c r="C303" i="2"/>
  <c r="H303" i="2" s="1"/>
  <c r="C304" i="2"/>
  <c r="H304" i="2" s="1"/>
  <c r="C305" i="2"/>
  <c r="H305" i="2" s="1"/>
  <c r="C306" i="2"/>
  <c r="H306" i="2" s="1"/>
  <c r="C307" i="2"/>
  <c r="H307" i="2" s="1"/>
  <c r="C308" i="2"/>
  <c r="H308" i="2" s="1"/>
  <c r="C309" i="2"/>
  <c r="H309" i="2" s="1"/>
  <c r="C310" i="2"/>
  <c r="H310" i="2" s="1"/>
  <c r="C311" i="2"/>
  <c r="H311" i="2" s="1"/>
  <c r="C312" i="2"/>
  <c r="H312" i="2" s="1"/>
  <c r="C313" i="2"/>
  <c r="H313" i="2" s="1"/>
  <c r="C314" i="2"/>
  <c r="H314" i="2" s="1"/>
  <c r="C315" i="2"/>
  <c r="H315" i="2" s="1"/>
  <c r="C316" i="2"/>
  <c r="H316" i="2" s="1"/>
  <c r="C317" i="2"/>
  <c r="H317" i="2" s="1"/>
  <c r="C318" i="2"/>
  <c r="H318" i="2" s="1"/>
  <c r="C319" i="2"/>
  <c r="H319" i="2" s="1"/>
  <c r="C320" i="2"/>
  <c r="H320" i="2" s="1"/>
  <c r="C321" i="2"/>
  <c r="H321" i="2" s="1"/>
  <c r="C322" i="2"/>
  <c r="H322" i="2" s="1"/>
  <c r="C323" i="2"/>
  <c r="H323" i="2" s="1"/>
  <c r="C324" i="2"/>
  <c r="H324" i="2" s="1"/>
  <c r="C325" i="2"/>
  <c r="H325" i="2" s="1"/>
  <c r="C326" i="2"/>
  <c r="H326" i="2" s="1"/>
  <c r="C327" i="2"/>
  <c r="H327" i="2" s="1"/>
  <c r="C328" i="2"/>
  <c r="H328" i="2" s="1"/>
  <c r="C329" i="2"/>
  <c r="H329" i="2" s="1"/>
  <c r="C330" i="2"/>
  <c r="H330" i="2" s="1"/>
  <c r="C331" i="2"/>
  <c r="H331" i="2" s="1"/>
  <c r="C332" i="2"/>
  <c r="H332" i="2" s="1"/>
  <c r="C333" i="2"/>
  <c r="H333" i="2" s="1"/>
  <c r="C334" i="2"/>
  <c r="H334" i="2" s="1"/>
  <c r="C335" i="2"/>
  <c r="H335" i="2" s="1"/>
  <c r="C336" i="2"/>
  <c r="H336" i="2" s="1"/>
  <c r="C337" i="2"/>
  <c r="H337" i="2" s="1"/>
  <c r="C338" i="2"/>
  <c r="H338" i="2" s="1"/>
  <c r="C339" i="2"/>
  <c r="H339" i="2" s="1"/>
  <c r="C340" i="2"/>
  <c r="H340" i="2" s="1"/>
  <c r="C341" i="2"/>
  <c r="H341" i="2" s="1"/>
  <c r="C342" i="2"/>
  <c r="H342" i="2" s="1"/>
  <c r="C343" i="2"/>
  <c r="H343" i="2" s="1"/>
  <c r="C344" i="2"/>
  <c r="H344" i="2" s="1"/>
  <c r="C345" i="2"/>
  <c r="H345" i="2" s="1"/>
  <c r="C346" i="2"/>
  <c r="H346" i="2" s="1"/>
  <c r="C347" i="2"/>
  <c r="H347" i="2" s="1"/>
  <c r="C348" i="2"/>
  <c r="H348" i="2" s="1"/>
  <c r="C349" i="2"/>
  <c r="H349" i="2" s="1"/>
  <c r="C350" i="2"/>
  <c r="H350" i="2" s="1"/>
  <c r="C351" i="2"/>
  <c r="H351" i="2" s="1"/>
  <c r="C352" i="2"/>
  <c r="H352" i="2" s="1"/>
  <c r="C353" i="2"/>
  <c r="H353" i="2" s="1"/>
  <c r="C354" i="2"/>
  <c r="H354" i="2" s="1"/>
  <c r="C355" i="2"/>
  <c r="H355" i="2" s="1"/>
  <c r="C356" i="2"/>
  <c r="H356" i="2" s="1"/>
  <c r="C357" i="2"/>
  <c r="H357" i="2" s="1"/>
  <c r="C358" i="2"/>
  <c r="H358" i="2" s="1"/>
  <c r="C359" i="2"/>
  <c r="H359" i="2" s="1"/>
  <c r="C360" i="2"/>
  <c r="H360" i="2" s="1"/>
  <c r="C361" i="2"/>
  <c r="H361" i="2" s="1"/>
  <c r="C362" i="2"/>
  <c r="H362" i="2" s="1"/>
  <c r="C363" i="2"/>
  <c r="H363" i="2" s="1"/>
  <c r="C364" i="2"/>
  <c r="H364" i="2" s="1"/>
  <c r="C365" i="2"/>
  <c r="H365" i="2" s="1"/>
  <c r="C366" i="2"/>
  <c r="H366" i="2" s="1"/>
  <c r="C367" i="2"/>
  <c r="H367" i="2" s="1"/>
  <c r="C368" i="2"/>
  <c r="H368" i="2" s="1"/>
  <c r="C369" i="2"/>
  <c r="H369" i="2" s="1"/>
  <c r="C370" i="2"/>
  <c r="H370" i="2" s="1"/>
  <c r="C371" i="2"/>
  <c r="H371" i="2" s="1"/>
  <c r="C372" i="2"/>
  <c r="H372" i="2" s="1"/>
  <c r="C373" i="2"/>
  <c r="H373" i="2" s="1"/>
  <c r="C374" i="2"/>
  <c r="H374" i="2" s="1"/>
  <c r="C375" i="2"/>
  <c r="H375" i="2" s="1"/>
  <c r="C376" i="2"/>
  <c r="H376" i="2" s="1"/>
  <c r="C377" i="2"/>
  <c r="H377" i="2" s="1"/>
  <c r="C378" i="2"/>
  <c r="H378" i="2" s="1"/>
  <c r="C379" i="2"/>
  <c r="H379" i="2" s="1"/>
  <c r="C380" i="2"/>
  <c r="H380" i="2" s="1"/>
  <c r="C381" i="2"/>
  <c r="H381" i="2" s="1"/>
  <c r="C382" i="2"/>
  <c r="H382" i="2" s="1"/>
  <c r="C383" i="2"/>
  <c r="H383" i="2" s="1"/>
  <c r="C384" i="2"/>
  <c r="H384" i="2" s="1"/>
  <c r="C385" i="2"/>
  <c r="H385" i="2" s="1"/>
  <c r="C386" i="2"/>
  <c r="H386" i="2" s="1"/>
  <c r="C387" i="2"/>
  <c r="H387" i="2" s="1"/>
  <c r="C388" i="2"/>
  <c r="H388" i="2" s="1"/>
  <c r="C389" i="2"/>
  <c r="H389" i="2" s="1"/>
  <c r="C390" i="2"/>
  <c r="H390" i="2" s="1"/>
  <c r="C391" i="2"/>
  <c r="H391" i="2" s="1"/>
  <c r="C392" i="2"/>
  <c r="H392" i="2" s="1"/>
  <c r="C393" i="2"/>
  <c r="H393" i="2" s="1"/>
  <c r="C394" i="2"/>
  <c r="H394" i="2" s="1"/>
  <c r="C395" i="2"/>
  <c r="H395" i="2" s="1"/>
  <c r="C396" i="2"/>
  <c r="H396" i="2" s="1"/>
  <c r="C397" i="2"/>
  <c r="H397" i="2" s="1"/>
  <c r="C398" i="2"/>
  <c r="H398" i="2" s="1"/>
  <c r="C399" i="2"/>
  <c r="H399" i="2" s="1"/>
  <c r="C400" i="2"/>
  <c r="H400" i="2" s="1"/>
  <c r="C401" i="2"/>
  <c r="H401" i="2" s="1"/>
  <c r="C402" i="2"/>
  <c r="H402" i="2" s="1"/>
  <c r="C403" i="2"/>
  <c r="H403" i="2" s="1"/>
  <c r="C404" i="2"/>
  <c r="H404" i="2" s="1"/>
  <c r="C405" i="2"/>
  <c r="H405" i="2" s="1"/>
  <c r="C406" i="2"/>
  <c r="H406" i="2" s="1"/>
  <c r="C407" i="2"/>
  <c r="H407" i="2" s="1"/>
  <c r="C408" i="2"/>
  <c r="H408" i="2" s="1"/>
  <c r="C409" i="2"/>
  <c r="H409" i="2" s="1"/>
  <c r="C410" i="2"/>
  <c r="H410" i="2" s="1"/>
  <c r="C411" i="2"/>
  <c r="H411" i="2" s="1"/>
  <c r="C412" i="2"/>
  <c r="H412" i="2" s="1"/>
  <c r="C413" i="2"/>
  <c r="H413" i="2" s="1"/>
  <c r="C414" i="2"/>
  <c r="H414" i="2" s="1"/>
  <c r="C415" i="2"/>
  <c r="H415" i="2" s="1"/>
  <c r="C416" i="2"/>
  <c r="H416" i="2" s="1"/>
  <c r="C417" i="2"/>
  <c r="H417" i="2" s="1"/>
  <c r="C418" i="2"/>
  <c r="H418" i="2" s="1"/>
  <c r="C419" i="2"/>
  <c r="H419" i="2" s="1"/>
  <c r="C420" i="2"/>
  <c r="H420" i="2" s="1"/>
  <c r="C421" i="2"/>
  <c r="H421" i="2" s="1"/>
  <c r="C422" i="2"/>
  <c r="H422" i="2" s="1"/>
  <c r="C423" i="2"/>
  <c r="H423" i="2" s="1"/>
  <c r="C424" i="2"/>
  <c r="H424" i="2" s="1"/>
  <c r="C425" i="2"/>
  <c r="H425" i="2" s="1"/>
  <c r="C426" i="2"/>
  <c r="H426" i="2" s="1"/>
  <c r="C427" i="2"/>
  <c r="H427" i="2" s="1"/>
  <c r="C428" i="2"/>
  <c r="H428" i="2" s="1"/>
  <c r="C429" i="2"/>
  <c r="H429" i="2" s="1"/>
  <c r="C430" i="2"/>
  <c r="H430" i="2" s="1"/>
  <c r="C431" i="2"/>
  <c r="H431" i="2" s="1"/>
  <c r="C432" i="2"/>
  <c r="H432" i="2" s="1"/>
  <c r="C433" i="2"/>
  <c r="H433" i="2" s="1"/>
  <c r="C434" i="2"/>
  <c r="H434" i="2" s="1"/>
  <c r="C435" i="2"/>
  <c r="H435" i="2" s="1"/>
  <c r="C2" i="2"/>
  <c r="H2" i="2" s="1"/>
  <c r="K2" i="4"/>
  <c r="D6" i="5"/>
  <c r="E6" i="5"/>
  <c r="F6" i="5"/>
  <c r="J3" i="2"/>
  <c r="H5" i="5" l="1"/>
  <c r="H6" i="5"/>
  <c r="D7" i="5"/>
  <c r="E7" i="5"/>
  <c r="F7" i="5"/>
  <c r="H7" i="5" l="1"/>
  <c r="D8" i="5"/>
  <c r="E8" i="5"/>
  <c r="F8" i="5"/>
  <c r="J4" i="2"/>
  <c r="J5" i="2"/>
  <c r="H8" i="5" l="1"/>
  <c r="D9" i="5"/>
  <c r="E9" i="5"/>
  <c r="F9" i="5"/>
  <c r="J6" i="2"/>
  <c r="H9" i="5" l="1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 l="1"/>
  <c r="J406" i="2"/>
  <c r="J405" i="2"/>
  <c r="J404" i="2"/>
  <c r="J403" i="2"/>
  <c r="J402" i="2"/>
  <c r="J401" i="2"/>
  <c r="J400" i="2"/>
  <c r="J399" i="2"/>
  <c r="J398" i="2"/>
  <c r="J397" i="2" l="1"/>
  <c r="J396" i="2"/>
  <c r="J395" i="2"/>
  <c r="J394" i="2"/>
  <c r="J393" i="2"/>
  <c r="J392" i="2"/>
  <c r="J391" i="2"/>
  <c r="J390" i="2"/>
  <c r="J389" i="2"/>
  <c r="J388" i="2"/>
  <c r="J387" i="2" l="1"/>
  <c r="J386" i="2"/>
  <c r="J385" i="2"/>
  <c r="J384" i="2"/>
  <c r="J383" i="2" l="1"/>
  <c r="J382" i="2"/>
  <c r="J381" i="2"/>
  <c r="J380" i="2"/>
  <c r="J379" i="2"/>
  <c r="J378" i="2"/>
  <c r="J377" i="2"/>
  <c r="J376" i="2"/>
  <c r="J375" i="2"/>
  <c r="J374" i="2"/>
  <c r="J373" i="2"/>
  <c r="J372" i="2"/>
  <c r="J371" i="2"/>
  <c r="J370" i="2"/>
  <c r="J369" i="2" l="1"/>
  <c r="J368" i="2"/>
  <c r="J367" i="2"/>
  <c r="J366" i="2"/>
  <c r="J365" i="2"/>
  <c r="J364" i="2"/>
  <c r="J363" i="2"/>
  <c r="J362" i="2"/>
  <c r="J361" i="2"/>
  <c r="J360" i="2"/>
  <c r="J359" i="2"/>
  <c r="J358" i="2"/>
  <c r="J357" i="2"/>
  <c r="J356" i="2"/>
  <c r="J355" i="2"/>
  <c r="J354" i="2"/>
  <c r="J353" i="2"/>
  <c r="J352" i="2" l="1"/>
  <c r="J351" i="2"/>
  <c r="J350" i="2"/>
  <c r="J349" i="2"/>
  <c r="J348" i="2"/>
  <c r="J347" i="2"/>
  <c r="J346" i="2"/>
  <c r="J345" i="2"/>
  <c r="J344" i="2"/>
  <c r="J343" i="2"/>
  <c r="J342" i="2"/>
  <c r="J341" i="2"/>
  <c r="J340" i="2"/>
  <c r="J339" i="2"/>
  <c r="J338" i="2"/>
  <c r="J337" i="2"/>
  <c r="J336" i="2"/>
  <c r="J335" i="2"/>
  <c r="J334" i="2"/>
  <c r="J333" i="2"/>
  <c r="J332" i="2"/>
  <c r="J331" i="2"/>
  <c r="J330" i="2"/>
  <c r="J329" i="2"/>
  <c r="D4" i="5"/>
  <c r="E4" i="5"/>
  <c r="F4" i="5"/>
  <c r="H4" i="5" l="1"/>
  <c r="D10" i="5"/>
  <c r="E10" i="5"/>
  <c r="F10" i="5"/>
  <c r="J328" i="2"/>
  <c r="J327" i="2"/>
  <c r="J326" i="2"/>
  <c r="J325" i="2"/>
  <c r="J324" i="2"/>
  <c r="J323" i="2"/>
  <c r="J322" i="2"/>
  <c r="J321" i="2"/>
  <c r="J320" i="2"/>
  <c r="J319" i="2"/>
  <c r="J318" i="2"/>
  <c r="J317" i="2"/>
  <c r="J316" i="2"/>
  <c r="J315" i="2"/>
  <c r="J314" i="2"/>
  <c r="J313" i="2"/>
  <c r="J312" i="2"/>
  <c r="J311" i="2"/>
  <c r="J310" i="2"/>
  <c r="H10" i="5" l="1"/>
  <c r="J309" i="2"/>
  <c r="J308" i="2"/>
  <c r="J307" i="2"/>
  <c r="J306" i="2"/>
  <c r="J305" i="2" l="1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 l="1"/>
  <c r="J286" i="2"/>
  <c r="J285" i="2"/>
  <c r="J284" i="2"/>
  <c r="J283" i="2"/>
  <c r="J282" i="2"/>
  <c r="J281" i="2"/>
  <c r="J280" i="2"/>
  <c r="J279" i="2"/>
  <c r="J278" i="2"/>
  <c r="J277" i="2"/>
  <c r="J276" i="2"/>
  <c r="J275" i="2" l="1"/>
  <c r="J274" i="2"/>
  <c r="J273" i="2"/>
  <c r="J272" i="2"/>
  <c r="J271" i="2"/>
  <c r="J270" i="2"/>
  <c r="J269" i="2"/>
  <c r="J268" i="2"/>
  <c r="J267" i="2"/>
  <c r="D11" i="5" l="1"/>
  <c r="E11" i="5"/>
  <c r="F11" i="5"/>
  <c r="J266" i="2"/>
  <c r="J265" i="2"/>
  <c r="H11" i="5" l="1"/>
  <c r="J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K2" i="2" l="1"/>
  <c r="D12" i="5" l="1"/>
  <c r="E12" i="5"/>
  <c r="F12" i="5"/>
  <c r="H12" i="5" l="1"/>
  <c r="J4" i="5" l="1"/>
  <c r="C1" i="1" l="1"/>
  <c r="A1" i="1" l="1"/>
  <c r="B1" i="1"/>
</calcChain>
</file>

<file path=xl/sharedStrings.xml><?xml version="1.0" encoding="utf-8"?>
<sst xmlns="http://schemas.openxmlformats.org/spreadsheetml/2006/main" count="1358" uniqueCount="468">
  <si>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</si>
  <si>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</si>
  <si>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</si>
  <si>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</si>
  <si>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</si>
  <si>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</si>
  <si>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</si>
  <si>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</si>
  <si>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</si>
  <si>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</si>
  <si>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</si>
  <si>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</si>
  <si>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</si>
  <si>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</si>
  <si>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</si>
  <si>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</si>
  <si>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</si>
  <si>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</si>
  <si>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</si>
  <si>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</si>
  <si>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</si>
  <si>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</si>
  <si>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</si>
  <si>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</si>
  <si>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</si>
  <si>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</si>
  <si>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</si>
  <si>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</si>
  <si>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</si>
  <si>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</si>
  <si>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</si>
  <si>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</si>
  <si>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</si>
  <si>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</si>
  <si>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</si>
  <si>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</si>
  <si>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</si>
  <si>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</si>
  <si>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</si>
  <si>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</si>
  <si>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</si>
  <si>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</si>
  <si>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</si>
  <si>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</si>
  <si>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</si>
  <si>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</si>
  <si>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</si>
  <si>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</si>
  <si>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</si>
  <si>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</si>
  <si>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</si>
  <si>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</si>
  <si>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</si>
  <si>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</si>
  <si>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</si>
  <si>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</si>
  <si>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</si>
  <si>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</si>
  <si>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</si>
  <si>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</si>
  <si>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</si>
  <si>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</si>
  <si>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</si>
  <si>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</si>
  <si>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</si>
  <si>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</si>
  <si>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</si>
  <si>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</si>
  <si>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</si>
  <si>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</si>
  <si>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</si>
  <si>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</si>
  <si>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</si>
  <si>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</si>
  <si>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</si>
  <si>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</si>
  <si>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</si>
  <si>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</si>
  <si>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</si>
  <si>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</si>
  <si>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</si>
  <si>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</si>
  <si>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</si>
  <si>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</si>
  <si>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</si>
  <si>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</si>
  <si>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</si>
  <si>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</si>
  <si>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</si>
  <si>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</si>
  <si>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</si>
  <si>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</si>
  <si>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</si>
  <si>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</si>
  <si>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</si>
  <si>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</si>
  <si>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</si>
  <si>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</si>
  <si>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</si>
  <si>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</si>
  <si>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</si>
  <si>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</si>
  <si>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</si>
  <si>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</si>
  <si>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</si>
  <si>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</si>
  <si>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</si>
  <si>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</si>
  <si>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</si>
  <si>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</si>
  <si>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</si>
  <si>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</si>
  <si>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</si>
  <si>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</si>
  <si>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</si>
  <si>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</si>
  <si>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</si>
  <si>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</si>
  <si>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</si>
  <si>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</si>
  <si>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</si>
  <si>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</si>
  <si>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</si>
  <si>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</si>
  <si>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</si>
  <si>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</si>
  <si>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</si>
  <si>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</si>
  <si>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</si>
  <si>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</si>
  <si>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</si>
  <si>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</si>
  <si>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</si>
  <si>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</si>
  <si>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</si>
  <si>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</si>
  <si>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</si>
  <si>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</si>
  <si>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</si>
  <si>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</si>
  <si>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</si>
  <si>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</si>
  <si>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</si>
  <si>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</si>
  <si>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</si>
  <si>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</si>
  <si>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ESTADISTICAS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</si>
  <si>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</si>
  <si>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</si>
  <si>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</si>
  <si>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</si>
  <si>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</si>
  <si>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</si>
  <si>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</si>
  <si>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</si>
  <si>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</si>
  <si>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</si>
  <si>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</si>
  <si>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</si>
  <si>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</si>
  <si>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</si>
  <si>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</si>
  <si>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</si>
  <si>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</si>
  <si>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</si>
  <si>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</si>
  <si>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</si>
  <si>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</si>
  <si>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</si>
  <si>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</si>
  <si>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</si>
  <si>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</si>
  <si>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</si>
  <si>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</si>
  <si>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</si>
  <si>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</si>
  <si>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</si>
  <si>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</si>
  <si>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</si>
  <si>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</si>
  <si>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</si>
  <si>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</si>
  <si>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</si>
  <si>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</si>
  <si>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</si>
  <si>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</si>
  <si>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</si>
  <si>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</si>
  <si>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</si>
  <si>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</si>
  <si>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</si>
  <si>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</si>
  <si>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</si>
  <si>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</si>
  <si>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</si>
  <si>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</si>
  <si>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</si>
  <si>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</si>
  <si>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</si>
  <si>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</si>
  <si>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</si>
  <si>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</si>
  <si>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</si>
  <si>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</si>
  <si>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</si>
  <si>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</si>
  <si>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</si>
  <si>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</si>
  <si>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</si>
  <si>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</si>
  <si>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</si>
  <si>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</si>
  <si>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</si>
  <si>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</si>
  <si>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</si>
  <si>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</si>
  <si>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</si>
  <si>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</si>
  <si>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</si>
  <si>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</si>
  <si>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</si>
  <si>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</si>
  <si>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</si>
  <si>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</si>
  <si>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</si>
  <si>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</si>
  <si>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</si>
  <si>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</si>
  <si>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</si>
  <si>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</si>
  <si>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</si>
  <si>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</si>
  <si>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</si>
  <si>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</si>
  <si>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</si>
  <si>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</si>
  <si>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</si>
  <si>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</si>
  <si>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</si>
  <si>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</si>
  <si>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</si>
  <si>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</si>
  <si>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</si>
  <si>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</si>
  <si>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</si>
  <si>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</si>
  <si>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</si>
  <si>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</si>
  <si>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</si>
  <si>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</si>
  <si>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</si>
  <si>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</si>
  <si>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</si>
  <si>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</si>
  <si>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</si>
  <si>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</si>
  <si>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</si>
  <si>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</si>
  <si>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</si>
  <si>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</si>
  <si>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</si>
  <si>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</si>
  <si>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</si>
  <si>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</si>
  <si>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</si>
  <si>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</si>
  <si>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</si>
  <si>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</si>
  <si>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</si>
  <si>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</si>
  <si>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</si>
  <si>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</si>
  <si>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</si>
  <si>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</si>
  <si>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</si>
  <si>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</si>
  <si>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</si>
  <si>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</si>
  <si>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</si>
  <si>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</si>
  <si>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</si>
  <si>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</si>
  <si>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</si>
  <si>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</si>
  <si>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</si>
  <si>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</si>
  <si>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</si>
  <si>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</si>
  <si>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</si>
  <si>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</si>
  <si>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</si>
  <si>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</si>
  <si>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</si>
  <si>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</si>
  <si>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</si>
  <si>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</si>
  <si>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</si>
  <si>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</si>
  <si>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</si>
  <si>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</si>
  <si>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</si>
  <si>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</si>
  <si>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</si>
  <si>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</si>
  <si>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</si>
  <si>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</si>
  <si>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</si>
  <si>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</si>
  <si>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</si>
  <si>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</si>
  <si>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</si>
  <si>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</si>
  <si>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</si>
  <si>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</si>
  <si>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</si>
  <si>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</si>
  <si>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</si>
  <si>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</si>
  <si>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</si>
  <si>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</si>
  <si>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</si>
  <si>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</si>
  <si>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</si>
  <si>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</si>
  <si>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</si>
  <si>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</si>
  <si>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</si>
  <si>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</si>
  <si>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</si>
  <si>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</si>
  <si>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</si>
  <si>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</si>
  <si>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</si>
  <si>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</si>
  <si>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</si>
  <si>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</si>
  <si>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</si>
  <si>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</si>
  <si>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</si>
  <si>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</si>
  <si>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</si>
  <si>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</si>
  <si>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</si>
  <si>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</si>
  <si>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</si>
  <si>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</si>
  <si>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</si>
  <si>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</si>
  <si>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</si>
  <si>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</si>
  <si>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</si>
  <si>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</si>
  <si>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</si>
  <si>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</si>
  <si>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</si>
  <si>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</si>
  <si>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</si>
  <si>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</si>
  <si>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</si>
  <si>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</si>
  <si>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</si>
  <si>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</si>
  <si>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</si>
  <si>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</si>
  <si>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</si>
  <si>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</si>
  <si>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</si>
  <si>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</si>
  <si>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</si>
  <si>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</si>
  <si>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</si>
  <si>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</si>
  <si>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</si>
  <si>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</si>
  <si>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</si>
  <si>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</si>
  <si>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</si>
  <si>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</si>
  <si>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</si>
  <si>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</si>
  <si>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</si>
  <si>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</si>
  <si>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</si>
  <si>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</si>
  <si>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</si>
  <si>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</si>
  <si>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</si>
  <si>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</si>
  <si>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</si>
  <si>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</si>
  <si>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</si>
  <si>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</si>
  <si>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</si>
  <si>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</si>
  <si>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</si>
  <si>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</si>
  <si>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</si>
  <si>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</si>
  <si>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</si>
  <si>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</si>
  <si>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</si>
  <si>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</si>
  <si>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</si>
  <si>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</si>
  <si>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</si>
  <si>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</si>
  <si>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</si>
  <si>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</si>
  <si>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</si>
  <si>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</si>
  <si>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</si>
  <si>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</si>
  <si>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</si>
  <si>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</si>
  <si>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</si>
  <si>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</si>
  <si>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</si>
  <si>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</si>
  <si>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</si>
  <si>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</si>
  <si>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</si>
  <si>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</si>
  <si>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</si>
  <si>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</si>
  <si>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</si>
  <si>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</si>
  <si>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</si>
  <si>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</si>
  <si>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</si>
  <si>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</si>
  <si>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</si>
  <si>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</si>
  <si>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</si>
  <si>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</si>
  <si>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</si>
  <si>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</si>
  <si>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</si>
  <si>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</si>
  <si>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</si>
  <si>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</si>
  <si>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</si>
  <si>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</si>
  <si>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</si>
  <si>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</si>
  <si>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</si>
  <si>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</si>
  <si>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</si>
  <si>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</si>
  <si>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</si>
  <si>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</si>
  <si>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</si>
  <si>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</si>
  <si>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</si>
  <si>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</si>
  <si>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</si>
  <si>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</si>
  <si>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</si>
  <si>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</si>
  <si>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</si>
  <si>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</si>
  <si>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</si>
  <si>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</si>
  <si>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</si>
  <si>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</si>
  <si>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</si>
  <si>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</si>
  <si>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</si>
  <si>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J1 ACE REFORZADAs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</si>
</sst>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71" fontId="6" fillId="2" borderId="0" xfId="0" applyNumberFormat="1" applyFont="1" applyFill="1" applyAlignment="1">
      <alignment horizontal="center" vertical="center"/>
    </xf>
    <xf numFmtId="171" fontId="6" fillId="0" borderId="0" xfId="0" applyNumberFormat="1" applyFont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1" formatCode="dd/mm/yyyy;@"/>
      <alignment horizontal="center" vertical="center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1">
      <calculatedColumnFormula>TODAY()</calculatedColumnFormula>
    </tableColumn>
    <tableColumn id="10" xr3:uid="{00000000-0010-0000-0000-00000A000000}" name="CATEGORIA" dataDxfId="41"/>
    <tableColumn id="2" xr3:uid="{00000000-0010-0000-0000-000002000000}" name="DESCRIPCION" dataDxfId="40"/>
    <tableColumn id="7" xr3:uid="{00000000-0010-0000-0000-000007000000}" name="CANTIDAD CARGADAS" dataDxfId="39"/>
    <tableColumn id="8" xr3:uid="{00000000-0010-0000-0000-000008000000}" name="COSTOS" dataDxfId="38"/>
    <tableColumn id="9" xr3:uid="{00000000-0010-0000-0000-000009000000}" name="RESTANTE" dataDxfId="0">
      <calculatedColumnFormula xml:space="preserve"> SUMIFS(Tabla2[CANTIDAD CARGADAS],Tabla2[CODIGO],Tabla2[[#This Row],[CODIGO]]) - SUMIFS(TABLA_CIERRES[CANTIDAD],TABLA_CIERRES[Codigo],Tabla2[[#This Row],[CODIGO]],TABLA_CIERRES[Fecha],"&gt;="&amp;Tabla2[[#This Row],[FECHA]])</calculatedColumnFormula>
    </tableColumn>
    <tableColumn id="4" xr3:uid="{00000000-0010-0000-0000-000004000000}" name="P. UNITARIO" dataDxfId="37" dataCellStyle="Moneda"/>
    <tableColumn id="3" xr3:uid="{00000000-0010-0000-0000-000003000000}" name="INVERTIDO" dataDxfId="36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5" dataDxfId="34">
  <autoFilter ref="K1:K2" xr:uid="{00000000-0009-0000-0100-000004000000}"/>
  <tableColumns count="1">
    <tableColumn id="1" xr3:uid="{00000000-0010-0000-0100-000001000000}" name="TOTAL INVERTIDO EN PRODUCTOS" dataDxfId="33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" insertRow="1" totalsRowShown="0" dataDxfId="32">
  <autoFilter ref="A1:I2" xr:uid="{00000000-0009-0000-0100-000001000000}"/>
  <tableColumns count="9">
    <tableColumn id="1" xr3:uid="{00000000-0010-0000-0200-000001000000}" name="Num" dataDxfId="31"/>
    <tableColumn id="2" xr3:uid="{00000000-0010-0000-0200-000002000000}" name="Fecha" dataDxfId="30"/>
    <tableColumn id="3" xr3:uid="{00000000-0010-0000-0200-000003000000}" name="Codigo" dataDxfId="29"/>
    <tableColumn id="4" xr3:uid="{00000000-0010-0000-0200-000004000000}" name="Descripcion" dataDxfId="28"/>
    <tableColumn id="5" xr3:uid="{00000000-0010-0000-0200-000005000000}" name="Cantidad" dataDxfId="27"/>
    <tableColumn id="6" xr3:uid="{00000000-0010-0000-0200-000006000000}" name="Categoria" dataDxfId="26"/>
    <tableColumn id="7" xr3:uid="{00000000-0010-0000-0200-000007000000}" name="Precio" dataDxfId="25"/>
    <tableColumn id="8" xr3:uid="{00000000-0010-0000-0200-000008000000}" name="Total" dataDxfId="24"/>
    <tableColumn id="9" xr3:uid="{00000000-0010-0000-0200-000009000000}" name="Forma de Pago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52" totalsRowShown="0" dataDxfId="22">
  <autoFilter ref="A1:I152" xr:uid="{00000000-0009-0000-0100-000003000000}"/>
  <tableColumns count="9">
    <tableColumn id="1" xr3:uid="{00000000-0010-0000-0300-000001000000}" name="Num" dataDxfId="21"/>
    <tableColumn id="2" xr3:uid="{00000000-0010-0000-0300-000002000000}" name="Fecha" dataDxfId="20"/>
    <tableColumn id="3" xr3:uid="{00000000-0010-0000-0300-000003000000}" name="Codigo" dataDxfId="19"/>
    <tableColumn id="4" xr3:uid="{00000000-0010-0000-0300-000004000000}" name="DESCRIPCION" dataDxfId="18"/>
    <tableColumn id="5" xr3:uid="{00000000-0010-0000-0300-000005000000}" name="CANTIDAD" dataDxfId="17"/>
    <tableColumn id="6" xr3:uid="{00000000-0010-0000-0300-000006000000}" name="CATEGORIA" dataDxfId="16"/>
    <tableColumn id="7" xr3:uid="{00000000-0010-0000-0300-000007000000}" name="PRECIO UNITARIO" dataDxfId="15"/>
    <tableColumn id="10" xr3:uid="{00000000-0010-0000-0300-00000A000000}" name="PRETIO TOTAL" dataDxfId="14"/>
    <tableColumn id="8" xr3:uid="{00000000-0010-0000-0300-000008000000}" name="FORMA DE PAGO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2" totalsRowShown="0" headerRowDxfId="12" dataDxfId="11">
  <autoFilter ref="C3:H12" xr:uid="{00000000-0009-0000-0100-000005000000}"/>
  <tableColumns count="6">
    <tableColumn id="1" xr3:uid="{00000000-0010-0000-0400-000001000000}" name="FECHA" dataDxfId="10"/>
    <tableColumn id="3" xr3:uid="{00000000-0010-0000-0400-000003000000}" name="EFECTIVO" dataDxfId="9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8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7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6"/>
    <tableColumn id="2" xr3:uid="{00000000-0010-0000-0400-000002000000}" name="GANACIA" dataDxfId="5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4" dataDxfId="3">
  <autoFilter ref="J3:J4" xr:uid="{00000000-0009-0000-0100-000006000000}"/>
  <tableColumns count="1">
    <tableColumn id="1" xr3:uid="{00000000-0010-0000-0500-000001000000}" name="TOTAL DE GANANCIAS " dataDxfId="2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1</v>
      </c>
      <c r="B1" s="13">
        <f>MAX(Tabla2[Nro])+1</f>
        <v>462</v>
      </c>
      <c r="C1" s="24">
        <f ca="1">TODAY()</f>
        <v>44974</v>
      </c>
    </row>
    <row r="5" spans="1:5" x14ac:dyDescent="0.25">
      <c r="E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tabSelected="1" zoomScale="82" zoomScaleNormal="82" workbookViewId="0">
      <pane ySplit="1" topLeftCell="A2" activePane="bottomLeft" state="frozen"/>
      <selection pane="bottomLeft" activeCell="F6" sqref="F6"/>
    </sheetView>
  </sheetViews>
  <sheetFormatPr baseColWidth="10" defaultRowHeight="15" x14ac:dyDescent="0.25"/>
  <cols>
    <col min="2" max="2" width="13.85546875" style="3" bestFit="1" customWidth="1"/>
    <col min="3" max="3" width="12.5703125" style="22" bestFit="1" customWidth="1"/>
    <col min="4" max="4" width="16.85546875" style="3" bestFit="1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9" style="29" bestFit="1" customWidth="1"/>
    <col min="10" max="10" width="17.85546875" style="30" bestFit="1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50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291</v>
      </c>
      <c r="K1" s="28" t="s">
        <v>292</v>
      </c>
    </row>
    <row r="2" spans="1:11" x14ac:dyDescent="0.25">
      <c r="A2" s="34">
        <v>22</v>
      </c>
      <c r="B2" s="35">
        <v>925805841</v>
      </c>
      <c r="C2" s="51">
        <f ca="1">TODAY()</f>
        <v>44974</v>
      </c>
      <c r="D2" s="35" t="s">
        <v>26</v>
      </c>
      <c r="E2" s="18" t="s">
        <v>29</v>
      </c>
      <c r="F2" s="18">
        <v>4</v>
      </c>
      <c r="G2" s="28">
        <v>400</v>
      </c>
      <c r="H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" s="36">
        <v>1000</v>
      </c>
      <c r="J2" s="37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8">
        <v>461</v>
      </c>
      <c r="B3" s="39">
        <v>200260895</v>
      </c>
      <c r="C3" s="51">
        <f t="shared" ref="C3:C66" ca="1" si="0">TODAY()</f>
        <v>44974</v>
      </c>
      <c r="D3" s="39" t="s">
        <v>26</v>
      </c>
      <c r="E3" s="40" t="s">
        <v>466</v>
      </c>
      <c r="F3" s="40">
        <v>2</v>
      </c>
      <c r="G3" s="41">
        <v>500</v>
      </c>
      <c r="H3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" s="42">
        <v>1400</v>
      </c>
      <c r="J3" s="43">
        <f>Tabla2[[#This Row],[CANTIDAD CARGADAS]]*Tabla2[[#This Row],[COSTOS]]</f>
        <v>1000</v>
      </c>
      <c r="K3" s="32"/>
    </row>
    <row r="4" spans="1:11" x14ac:dyDescent="0.25">
      <c r="A4" s="38">
        <v>460</v>
      </c>
      <c r="B4" s="39">
        <v>369110405</v>
      </c>
      <c r="C4" s="51">
        <f t="shared" ca="1" si="0"/>
        <v>44974</v>
      </c>
      <c r="D4" s="39" t="s">
        <v>205</v>
      </c>
      <c r="E4" s="40" t="s">
        <v>465</v>
      </c>
      <c r="F4" s="40">
        <v>10</v>
      </c>
      <c r="G4" s="41">
        <v>2100</v>
      </c>
      <c r="H4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" s="42">
        <v>4200</v>
      </c>
      <c r="J4" s="43">
        <f>Tabla2[[#This Row],[CANTIDAD CARGADAS]]*Tabla2[[#This Row],[COSTOS]]</f>
        <v>21000</v>
      </c>
      <c r="K4" s="32"/>
    </row>
    <row r="5" spans="1:11" x14ac:dyDescent="0.25">
      <c r="A5" s="38">
        <v>459</v>
      </c>
      <c r="B5" s="39">
        <v>355087918</v>
      </c>
      <c r="C5" s="51">
        <f t="shared" ca="1" si="0"/>
        <v>44974</v>
      </c>
      <c r="D5" s="39" t="s">
        <v>205</v>
      </c>
      <c r="E5" s="40" t="s">
        <v>463</v>
      </c>
      <c r="F5" s="40">
        <v>5</v>
      </c>
      <c r="G5" s="41">
        <v>4000</v>
      </c>
      <c r="H5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" s="42">
        <v>8000</v>
      </c>
      <c r="J5" s="43">
        <f>Tabla2[[#This Row],[CANTIDAD CARGADAS]]*Tabla2[[#This Row],[COSTOS]]</f>
        <v>20000</v>
      </c>
      <c r="K5" s="32"/>
    </row>
    <row r="6" spans="1:11" x14ac:dyDescent="0.25">
      <c r="A6" s="38">
        <v>458</v>
      </c>
      <c r="B6" s="39">
        <v>660998802</v>
      </c>
      <c r="C6" s="51">
        <f t="shared" ca="1" si="0"/>
        <v>44974</v>
      </c>
      <c r="D6" s="39" t="s">
        <v>26</v>
      </c>
      <c r="E6" s="40" t="s">
        <v>462</v>
      </c>
      <c r="F6" s="40">
        <v>2</v>
      </c>
      <c r="G6" s="41">
        <v>600</v>
      </c>
      <c r="H6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6" s="42">
        <v>1400</v>
      </c>
      <c r="J6" s="43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51">
        <f t="shared" ca="1" si="0"/>
        <v>44974</v>
      </c>
      <c r="D7" s="35" t="s">
        <v>26</v>
      </c>
      <c r="E7" s="18" t="s">
        <v>28</v>
      </c>
      <c r="F7" s="18">
        <v>24</v>
      </c>
      <c r="G7" s="28">
        <v>400</v>
      </c>
      <c r="H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7" s="36">
        <v>1000</v>
      </c>
      <c r="J7" s="37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51">
        <f t="shared" ca="1" si="0"/>
        <v>44974</v>
      </c>
      <c r="D8" s="35" t="s">
        <v>26</v>
      </c>
      <c r="E8" s="18" t="s">
        <v>30</v>
      </c>
      <c r="F8" s="18">
        <v>20</v>
      </c>
      <c r="G8" s="28">
        <v>200</v>
      </c>
      <c r="H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8" s="36">
        <v>600</v>
      </c>
      <c r="J8" s="37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51">
        <f t="shared" ca="1" si="0"/>
        <v>44974</v>
      </c>
      <c r="D9" s="35" t="s">
        <v>26</v>
      </c>
      <c r="E9" s="18" t="s">
        <v>31</v>
      </c>
      <c r="F9" s="18">
        <v>6</v>
      </c>
      <c r="G9" s="28">
        <v>400</v>
      </c>
      <c r="H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9" s="36">
        <v>1000</v>
      </c>
      <c r="J9" s="37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51">
        <f t="shared" ca="1" si="0"/>
        <v>44974</v>
      </c>
      <c r="D10" s="35" t="s">
        <v>26</v>
      </c>
      <c r="E10" s="18" t="s">
        <v>32</v>
      </c>
      <c r="F10" s="18">
        <v>5</v>
      </c>
      <c r="G10" s="28">
        <v>400</v>
      </c>
      <c r="H1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0" s="36">
        <v>1400</v>
      </c>
      <c r="J10" s="37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51">
        <f t="shared" ca="1" si="0"/>
        <v>44974</v>
      </c>
      <c r="D11" s="35" t="s">
        <v>26</v>
      </c>
      <c r="E11" s="18" t="s">
        <v>33</v>
      </c>
      <c r="F11" s="18">
        <v>9</v>
      </c>
      <c r="G11" s="28">
        <v>200</v>
      </c>
      <c r="H1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11" s="36">
        <v>600</v>
      </c>
      <c r="J11" s="37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51">
        <f t="shared" ca="1" si="0"/>
        <v>44974</v>
      </c>
      <c r="D12" s="35" t="s">
        <v>26</v>
      </c>
      <c r="E12" s="18" t="s">
        <v>34</v>
      </c>
      <c r="F12" s="18">
        <v>23</v>
      </c>
      <c r="G12" s="28">
        <v>400</v>
      </c>
      <c r="H1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23</v>
      </c>
      <c r="I12" s="36">
        <v>1000</v>
      </c>
      <c r="J12" s="37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51">
        <f t="shared" ca="1" si="0"/>
        <v>44974</v>
      </c>
      <c r="D13" s="35" t="s">
        <v>26</v>
      </c>
      <c r="E13" s="18" t="s">
        <v>35</v>
      </c>
      <c r="F13" s="18">
        <v>31</v>
      </c>
      <c r="G13" s="28">
        <v>400</v>
      </c>
      <c r="H1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31</v>
      </c>
      <c r="I13" s="36">
        <v>1000</v>
      </c>
      <c r="J13" s="37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51">
        <f t="shared" ca="1" si="0"/>
        <v>44974</v>
      </c>
      <c r="D14" s="35" t="s">
        <v>26</v>
      </c>
      <c r="E14" s="18" t="s">
        <v>36</v>
      </c>
      <c r="F14" s="18">
        <v>22</v>
      </c>
      <c r="G14" s="28">
        <v>400</v>
      </c>
      <c r="H1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4" s="36">
        <v>1000</v>
      </c>
      <c r="J14" s="37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51">
        <f t="shared" ca="1" si="0"/>
        <v>44974</v>
      </c>
      <c r="D15" s="35" t="s">
        <v>26</v>
      </c>
      <c r="E15" s="18" t="s">
        <v>37</v>
      </c>
      <c r="F15" s="18">
        <v>7</v>
      </c>
      <c r="G15" s="28">
        <v>200</v>
      </c>
      <c r="H1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5" s="36">
        <v>600</v>
      </c>
      <c r="J15" s="37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51">
        <f t="shared" ca="1" si="0"/>
        <v>44974</v>
      </c>
      <c r="D16" s="35" t="s">
        <v>26</v>
      </c>
      <c r="E16" s="18" t="s">
        <v>38</v>
      </c>
      <c r="F16" s="18">
        <v>9</v>
      </c>
      <c r="G16" s="28">
        <v>400</v>
      </c>
      <c r="H1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16" s="36">
        <v>1000</v>
      </c>
      <c r="J16" s="37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51">
        <f t="shared" ca="1" si="0"/>
        <v>44974</v>
      </c>
      <c r="D17" s="35" t="s">
        <v>26</v>
      </c>
      <c r="E17" s="18" t="s">
        <v>39</v>
      </c>
      <c r="F17" s="18">
        <v>27</v>
      </c>
      <c r="G17" s="28">
        <v>400</v>
      </c>
      <c r="H1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17" s="36">
        <v>1000</v>
      </c>
      <c r="J17" s="37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51">
        <f t="shared" ca="1" si="0"/>
        <v>44974</v>
      </c>
      <c r="D18" s="35" t="s">
        <v>26</v>
      </c>
      <c r="E18" s="18" t="s">
        <v>40</v>
      </c>
      <c r="F18" s="18">
        <v>8</v>
      </c>
      <c r="G18" s="28">
        <v>200</v>
      </c>
      <c r="H1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8" s="36">
        <v>600</v>
      </c>
      <c r="J18" s="37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51">
        <f t="shared" ca="1" si="0"/>
        <v>44974</v>
      </c>
      <c r="D19" s="35" t="s">
        <v>26</v>
      </c>
      <c r="E19" s="18" t="s">
        <v>41</v>
      </c>
      <c r="F19" s="18">
        <v>12</v>
      </c>
      <c r="G19" s="28">
        <v>400</v>
      </c>
      <c r="H1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9" s="36">
        <v>1000</v>
      </c>
      <c r="J19" s="37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51">
        <f t="shared" ca="1" si="0"/>
        <v>44974</v>
      </c>
      <c r="D20" s="35" t="s">
        <v>26</v>
      </c>
      <c r="E20" s="18" t="s">
        <v>42</v>
      </c>
      <c r="F20" s="18">
        <v>3</v>
      </c>
      <c r="G20" s="28">
        <v>400</v>
      </c>
      <c r="H2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0" s="36">
        <v>1400</v>
      </c>
      <c r="J20" s="37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51">
        <f t="shared" ca="1" si="0"/>
        <v>44974</v>
      </c>
      <c r="D21" s="35" t="s">
        <v>26</v>
      </c>
      <c r="E21" s="18" t="s">
        <v>43</v>
      </c>
      <c r="F21" s="18">
        <v>16</v>
      </c>
      <c r="G21" s="28">
        <v>400</v>
      </c>
      <c r="H2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21" s="36">
        <v>1000</v>
      </c>
      <c r="J21" s="37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51">
        <f t="shared" ca="1" si="0"/>
        <v>44974</v>
      </c>
      <c r="D22" s="35" t="s">
        <v>26</v>
      </c>
      <c r="E22" s="18" t="s">
        <v>44</v>
      </c>
      <c r="F22" s="18">
        <v>13</v>
      </c>
      <c r="G22" s="28">
        <v>200</v>
      </c>
      <c r="H2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2" s="36">
        <v>600</v>
      </c>
      <c r="J22" s="37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51">
        <f t="shared" ca="1" si="0"/>
        <v>44974</v>
      </c>
      <c r="D23" s="35" t="s">
        <v>26</v>
      </c>
      <c r="E23" s="18" t="s">
        <v>45</v>
      </c>
      <c r="F23" s="18">
        <v>10</v>
      </c>
      <c r="G23" s="28">
        <v>400</v>
      </c>
      <c r="H2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3" s="36">
        <v>1000</v>
      </c>
      <c r="J23" s="37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51">
        <f t="shared" ca="1" si="0"/>
        <v>44974</v>
      </c>
      <c r="D24" s="35" t="s">
        <v>26</v>
      </c>
      <c r="E24" s="18" t="s">
        <v>46</v>
      </c>
      <c r="F24" s="18">
        <v>29</v>
      </c>
      <c r="G24" s="28">
        <v>400</v>
      </c>
      <c r="H2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24" s="36">
        <v>1000</v>
      </c>
      <c r="J24" s="37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51">
        <f t="shared" ca="1" si="0"/>
        <v>44974</v>
      </c>
      <c r="D25" s="35" t="s">
        <v>26</v>
      </c>
      <c r="E25" s="18" t="s">
        <v>47</v>
      </c>
      <c r="F25" s="18">
        <v>29</v>
      </c>
      <c r="G25" s="28">
        <v>400</v>
      </c>
      <c r="H2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25" s="36">
        <v>1000</v>
      </c>
      <c r="J25" s="37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51">
        <f t="shared" ca="1" si="0"/>
        <v>44974</v>
      </c>
      <c r="D26" s="35" t="s">
        <v>26</v>
      </c>
      <c r="E26" s="18" t="s">
        <v>48</v>
      </c>
      <c r="F26" s="18">
        <v>1</v>
      </c>
      <c r="G26" s="28">
        <v>400</v>
      </c>
      <c r="H2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6" s="36">
        <v>1400</v>
      </c>
      <c r="J26" s="37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51">
        <f t="shared" ca="1" si="0"/>
        <v>44974</v>
      </c>
      <c r="D27" s="35" t="s">
        <v>26</v>
      </c>
      <c r="E27" s="18" t="s">
        <v>43</v>
      </c>
      <c r="F27" s="18">
        <v>30</v>
      </c>
      <c r="G27" s="28">
        <v>400</v>
      </c>
      <c r="H2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27" s="36">
        <v>1000</v>
      </c>
      <c r="J27" s="37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51">
        <f t="shared" ca="1" si="0"/>
        <v>44974</v>
      </c>
      <c r="D28" s="35" t="s">
        <v>26</v>
      </c>
      <c r="E28" s="18" t="s">
        <v>49</v>
      </c>
      <c r="F28" s="18">
        <v>3</v>
      </c>
      <c r="G28" s="28">
        <v>400</v>
      </c>
      <c r="H2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8" s="36">
        <v>1400</v>
      </c>
      <c r="J28" s="37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51">
        <f t="shared" ca="1" si="0"/>
        <v>44974</v>
      </c>
      <c r="D29" s="35" t="s">
        <v>26</v>
      </c>
      <c r="E29" s="18" t="s">
        <v>50</v>
      </c>
      <c r="F29" s="18">
        <v>32</v>
      </c>
      <c r="G29" s="28">
        <v>400</v>
      </c>
      <c r="H2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32</v>
      </c>
      <c r="I29" s="36">
        <v>1000</v>
      </c>
      <c r="J29" s="37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51">
        <f t="shared" ca="1" si="0"/>
        <v>44974</v>
      </c>
      <c r="D30" s="35" t="s">
        <v>26</v>
      </c>
      <c r="E30" s="18" t="s">
        <v>51</v>
      </c>
      <c r="F30" s="18">
        <v>10</v>
      </c>
      <c r="G30" s="28">
        <v>200</v>
      </c>
      <c r="H3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0" s="36">
        <v>600</v>
      </c>
      <c r="J30" s="37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51">
        <f t="shared" ca="1" si="0"/>
        <v>44974</v>
      </c>
      <c r="D31" s="35" t="s">
        <v>26</v>
      </c>
      <c r="E31" s="18" t="s">
        <v>52</v>
      </c>
      <c r="F31" s="18">
        <v>12</v>
      </c>
      <c r="G31" s="28">
        <v>400</v>
      </c>
      <c r="H3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1" s="36">
        <v>1000</v>
      </c>
      <c r="J31" s="37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51">
        <f t="shared" ca="1" si="0"/>
        <v>44974</v>
      </c>
      <c r="D32" s="35" t="s">
        <v>26</v>
      </c>
      <c r="E32" s="18" t="s">
        <v>53</v>
      </c>
      <c r="F32" s="18">
        <v>6</v>
      </c>
      <c r="G32" s="28">
        <v>200</v>
      </c>
      <c r="H3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2" s="36">
        <v>600</v>
      </c>
      <c r="J32" s="37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51">
        <f t="shared" ca="1" si="0"/>
        <v>44974</v>
      </c>
      <c r="D33" s="35" t="s">
        <v>26</v>
      </c>
      <c r="E33" s="18" t="s">
        <v>54</v>
      </c>
      <c r="F33" s="18">
        <v>6</v>
      </c>
      <c r="G33" s="28">
        <v>400</v>
      </c>
      <c r="H3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3" s="36">
        <v>1400</v>
      </c>
      <c r="J33" s="37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51">
        <f t="shared" ca="1" si="0"/>
        <v>44974</v>
      </c>
      <c r="D34" s="35" t="s">
        <v>26</v>
      </c>
      <c r="E34" s="18" t="s">
        <v>55</v>
      </c>
      <c r="F34" s="18">
        <v>8</v>
      </c>
      <c r="G34" s="28">
        <v>400</v>
      </c>
      <c r="H3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4" s="36">
        <v>1000</v>
      </c>
      <c r="J34" s="37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51">
        <f t="shared" ca="1" si="0"/>
        <v>44974</v>
      </c>
      <c r="D35" s="35" t="s">
        <v>26</v>
      </c>
      <c r="E35" s="18" t="s">
        <v>56</v>
      </c>
      <c r="F35" s="18">
        <v>18</v>
      </c>
      <c r="G35" s="28">
        <v>200</v>
      </c>
      <c r="H3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5" s="36">
        <v>600</v>
      </c>
      <c r="J35" s="37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51">
        <f t="shared" ca="1" si="0"/>
        <v>44974</v>
      </c>
      <c r="D36" s="35" t="s">
        <v>26</v>
      </c>
      <c r="E36" s="18" t="s">
        <v>57</v>
      </c>
      <c r="F36" s="18">
        <v>1</v>
      </c>
      <c r="G36" s="28">
        <v>400</v>
      </c>
      <c r="H3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6" s="36">
        <v>1400</v>
      </c>
      <c r="J36" s="37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51">
        <f t="shared" ca="1" si="0"/>
        <v>44974</v>
      </c>
      <c r="D37" s="35" t="s">
        <v>26</v>
      </c>
      <c r="E37" s="18" t="s">
        <v>58</v>
      </c>
      <c r="F37" s="18">
        <v>4</v>
      </c>
      <c r="G37" s="28">
        <v>200</v>
      </c>
      <c r="H3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7" s="36">
        <v>600</v>
      </c>
      <c r="J37" s="37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51">
        <f t="shared" ca="1" si="0"/>
        <v>44974</v>
      </c>
      <c r="D38" s="35" t="s">
        <v>26</v>
      </c>
      <c r="E38" s="18" t="s">
        <v>59</v>
      </c>
      <c r="F38" s="18">
        <v>1</v>
      </c>
      <c r="G38" s="28">
        <v>400</v>
      </c>
      <c r="H3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8" s="36">
        <v>1400</v>
      </c>
      <c r="J38" s="37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51">
        <f t="shared" ca="1" si="0"/>
        <v>44974</v>
      </c>
      <c r="D39" s="35" t="s">
        <v>26</v>
      </c>
      <c r="E39" s="18" t="s">
        <v>60</v>
      </c>
      <c r="F39" s="18">
        <v>35</v>
      </c>
      <c r="G39" s="28">
        <v>400</v>
      </c>
      <c r="H3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35</v>
      </c>
      <c r="I39" s="36">
        <v>1000</v>
      </c>
      <c r="J39" s="37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51">
        <f t="shared" ca="1" si="0"/>
        <v>44974</v>
      </c>
      <c r="D40" s="35" t="s">
        <v>26</v>
      </c>
      <c r="E40" s="18" t="s">
        <v>61</v>
      </c>
      <c r="F40" s="18">
        <v>22</v>
      </c>
      <c r="G40" s="28">
        <v>400</v>
      </c>
      <c r="H4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40" s="36">
        <v>1000</v>
      </c>
      <c r="J40" s="37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51">
        <f t="shared" ca="1" si="0"/>
        <v>44974</v>
      </c>
      <c r="D41" s="35" t="s">
        <v>26</v>
      </c>
      <c r="E41" s="18" t="s">
        <v>62</v>
      </c>
      <c r="F41" s="18">
        <v>8</v>
      </c>
      <c r="G41" s="28">
        <v>200</v>
      </c>
      <c r="H4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1" s="36">
        <v>600</v>
      </c>
      <c r="J41" s="37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51">
        <f t="shared" ca="1" si="0"/>
        <v>44974</v>
      </c>
      <c r="D42" s="35" t="s">
        <v>26</v>
      </c>
      <c r="E42" s="18" t="s">
        <v>63</v>
      </c>
      <c r="F42" s="18">
        <v>7</v>
      </c>
      <c r="G42" s="28">
        <v>400</v>
      </c>
      <c r="H4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2" s="36">
        <v>1400</v>
      </c>
      <c r="J42" s="37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51">
        <f t="shared" ca="1" si="0"/>
        <v>44974</v>
      </c>
      <c r="D43" s="35" t="s">
        <v>26</v>
      </c>
      <c r="E43" s="18" t="s">
        <v>64</v>
      </c>
      <c r="F43" s="18">
        <v>14</v>
      </c>
      <c r="G43" s="28">
        <v>400</v>
      </c>
      <c r="H4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43" s="36">
        <v>1000</v>
      </c>
      <c r="J43" s="37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51">
        <f t="shared" ca="1" si="0"/>
        <v>44974</v>
      </c>
      <c r="D44" s="35" t="s">
        <v>26</v>
      </c>
      <c r="E44" s="18" t="s">
        <v>65</v>
      </c>
      <c r="F44" s="18">
        <v>10</v>
      </c>
      <c r="G44" s="28">
        <v>200</v>
      </c>
      <c r="H4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4" s="36">
        <v>600</v>
      </c>
      <c r="J44" s="37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51">
        <f t="shared" ca="1" si="0"/>
        <v>44974</v>
      </c>
      <c r="D45" s="35" t="s">
        <v>26</v>
      </c>
      <c r="E45" s="18" t="s">
        <v>66</v>
      </c>
      <c r="F45" s="18">
        <v>1</v>
      </c>
      <c r="G45" s="28">
        <v>400</v>
      </c>
      <c r="H4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5" s="36">
        <v>1400</v>
      </c>
      <c r="J45" s="37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51">
        <f t="shared" ca="1" si="0"/>
        <v>44974</v>
      </c>
      <c r="D46" s="35" t="s">
        <v>26</v>
      </c>
      <c r="E46" s="18" t="s">
        <v>67</v>
      </c>
      <c r="F46" s="18">
        <v>5</v>
      </c>
      <c r="G46" s="28">
        <v>500</v>
      </c>
      <c r="H4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6" s="36">
        <v>1400</v>
      </c>
      <c r="J46" s="37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51">
        <f t="shared" ca="1" si="0"/>
        <v>44974</v>
      </c>
      <c r="D47" s="35" t="s">
        <v>26</v>
      </c>
      <c r="E47" s="18" t="s">
        <v>68</v>
      </c>
      <c r="F47" s="18">
        <v>15</v>
      </c>
      <c r="G47" s="28">
        <v>400</v>
      </c>
      <c r="H4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47" s="36">
        <v>1000</v>
      </c>
      <c r="J47" s="37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51">
        <f t="shared" ca="1" si="0"/>
        <v>44974</v>
      </c>
      <c r="D48" s="35" t="s">
        <v>26</v>
      </c>
      <c r="E48" s="18" t="s">
        <v>69</v>
      </c>
      <c r="F48" s="18">
        <v>17</v>
      </c>
      <c r="G48" s="28">
        <v>200</v>
      </c>
      <c r="H4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8" s="36">
        <v>600</v>
      </c>
      <c r="J48" s="37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51">
        <f t="shared" ca="1" si="0"/>
        <v>44974</v>
      </c>
      <c r="D49" s="35" t="s">
        <v>26</v>
      </c>
      <c r="E49" s="18" t="s">
        <v>70</v>
      </c>
      <c r="F49" s="18">
        <v>10</v>
      </c>
      <c r="G49" s="28">
        <v>500</v>
      </c>
      <c r="H4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9" s="36">
        <v>1400</v>
      </c>
      <c r="J49" s="37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51">
        <f t="shared" ca="1" si="0"/>
        <v>44974</v>
      </c>
      <c r="D50" s="35" t="s">
        <v>26</v>
      </c>
      <c r="E50" s="18" t="s">
        <v>71</v>
      </c>
      <c r="F50" s="18">
        <v>1</v>
      </c>
      <c r="G50" s="28">
        <v>500</v>
      </c>
      <c r="H5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50" s="36">
        <v>1400</v>
      </c>
      <c r="J50" s="37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51">
        <f t="shared" ca="1" si="0"/>
        <v>44974</v>
      </c>
      <c r="D51" s="35" t="s">
        <v>26</v>
      </c>
      <c r="E51" s="18" t="s">
        <v>72</v>
      </c>
      <c r="F51" s="18">
        <v>10</v>
      </c>
      <c r="G51" s="28">
        <v>200</v>
      </c>
      <c r="H5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51" s="36">
        <v>600</v>
      </c>
      <c r="J51" s="37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51">
        <f t="shared" ca="1" si="0"/>
        <v>44974</v>
      </c>
      <c r="D52" s="35" t="s">
        <v>26</v>
      </c>
      <c r="E52" s="18" t="s">
        <v>73</v>
      </c>
      <c r="F52" s="18">
        <v>10</v>
      </c>
      <c r="G52" s="28">
        <v>500</v>
      </c>
      <c r="H5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52" s="36">
        <v>14000</v>
      </c>
      <c r="J52" s="37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51">
        <f t="shared" ca="1" si="0"/>
        <v>44974</v>
      </c>
      <c r="D53" s="35" t="s">
        <v>26</v>
      </c>
      <c r="E53" s="18" t="s">
        <v>74</v>
      </c>
      <c r="F53" s="18">
        <v>7</v>
      </c>
      <c r="G53" s="28">
        <v>500</v>
      </c>
      <c r="H5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53" s="36">
        <v>1400</v>
      </c>
      <c r="J53" s="37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51">
        <f t="shared" ca="1" si="0"/>
        <v>44974</v>
      </c>
      <c r="D54" s="35" t="s">
        <v>26</v>
      </c>
      <c r="E54" s="18" t="s">
        <v>75</v>
      </c>
      <c r="F54" s="18">
        <v>2</v>
      </c>
      <c r="G54" s="28">
        <v>200</v>
      </c>
      <c r="H5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54" s="36">
        <v>600</v>
      </c>
      <c r="J54" s="37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51">
        <f t="shared" ca="1" si="0"/>
        <v>44974</v>
      </c>
      <c r="D55" s="35" t="s">
        <v>26</v>
      </c>
      <c r="E55" s="18" t="s">
        <v>76</v>
      </c>
      <c r="F55" s="18">
        <v>5</v>
      </c>
      <c r="G55" s="28">
        <v>400</v>
      </c>
      <c r="H5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5" s="36">
        <v>1000</v>
      </c>
      <c r="J55" s="37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51">
        <f t="shared" ca="1" si="0"/>
        <v>44974</v>
      </c>
      <c r="D56" s="35" t="s">
        <v>26</v>
      </c>
      <c r="E56" s="18" t="s">
        <v>77</v>
      </c>
      <c r="F56" s="18">
        <v>16</v>
      </c>
      <c r="G56" s="28">
        <v>400</v>
      </c>
      <c r="H5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56" s="36">
        <v>1000</v>
      </c>
      <c r="J56" s="37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51">
        <f t="shared" ca="1" si="0"/>
        <v>44974</v>
      </c>
      <c r="D57" s="35" t="s">
        <v>26</v>
      </c>
      <c r="E57" s="18" t="s">
        <v>78</v>
      </c>
      <c r="F57" s="18">
        <v>2</v>
      </c>
      <c r="G57" s="28">
        <v>600</v>
      </c>
      <c r="H5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57" s="36">
        <v>1400</v>
      </c>
      <c r="J57" s="37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51">
        <f t="shared" ca="1" si="0"/>
        <v>44974</v>
      </c>
      <c r="D58" s="35" t="s">
        <v>26</v>
      </c>
      <c r="E58" s="18" t="s">
        <v>79</v>
      </c>
      <c r="F58" s="18">
        <v>10</v>
      </c>
      <c r="G58" s="28">
        <v>200</v>
      </c>
      <c r="H5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58" s="36">
        <v>600</v>
      </c>
      <c r="J58" s="37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51">
        <f t="shared" ca="1" si="0"/>
        <v>44974</v>
      </c>
      <c r="D59" s="35" t="s">
        <v>26</v>
      </c>
      <c r="E59" s="18" t="s">
        <v>80</v>
      </c>
      <c r="F59" s="18">
        <v>4</v>
      </c>
      <c r="G59" s="28">
        <v>600</v>
      </c>
      <c r="H5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59" s="36">
        <v>1400</v>
      </c>
      <c r="J59" s="37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51">
        <f t="shared" ca="1" si="0"/>
        <v>44974</v>
      </c>
      <c r="D60" s="35" t="s">
        <v>26</v>
      </c>
      <c r="E60" s="18" t="s">
        <v>81</v>
      </c>
      <c r="F60" s="18">
        <v>8</v>
      </c>
      <c r="G60" s="28">
        <v>400</v>
      </c>
      <c r="H6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60" s="36">
        <v>1000</v>
      </c>
      <c r="J60" s="37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51">
        <f t="shared" ca="1" si="0"/>
        <v>44974</v>
      </c>
      <c r="D61" s="35" t="s">
        <v>26</v>
      </c>
      <c r="E61" s="18" t="s">
        <v>82</v>
      </c>
      <c r="F61" s="18">
        <v>3</v>
      </c>
      <c r="G61" s="28">
        <v>200</v>
      </c>
      <c r="H6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61" s="36">
        <v>600</v>
      </c>
      <c r="J61" s="37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51">
        <f t="shared" ca="1" si="0"/>
        <v>44974</v>
      </c>
      <c r="D62" s="35" t="s">
        <v>26</v>
      </c>
      <c r="E62" s="18" t="s">
        <v>83</v>
      </c>
      <c r="F62" s="18">
        <v>2</v>
      </c>
      <c r="G62" s="28">
        <v>400</v>
      </c>
      <c r="H6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62" s="36">
        <v>1000</v>
      </c>
      <c r="J62" s="37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51">
        <f t="shared" ca="1" si="0"/>
        <v>44974</v>
      </c>
      <c r="D63" s="35" t="s">
        <v>26</v>
      </c>
      <c r="E63" s="18" t="s">
        <v>84</v>
      </c>
      <c r="F63" s="18">
        <v>8</v>
      </c>
      <c r="G63" s="28">
        <v>200</v>
      </c>
      <c r="H6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63" s="36">
        <v>600</v>
      </c>
      <c r="J63" s="37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51">
        <f t="shared" ca="1" si="0"/>
        <v>44974</v>
      </c>
      <c r="D64" s="35" t="s">
        <v>26</v>
      </c>
      <c r="E64" s="18" t="s">
        <v>85</v>
      </c>
      <c r="F64" s="18">
        <v>2</v>
      </c>
      <c r="G64" s="28">
        <v>600</v>
      </c>
      <c r="H6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64" s="36">
        <v>1400</v>
      </c>
      <c r="J64" s="37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51">
        <f t="shared" ca="1" si="0"/>
        <v>44974</v>
      </c>
      <c r="D65" s="35" t="s">
        <v>26</v>
      </c>
      <c r="E65" s="18" t="s">
        <v>86</v>
      </c>
      <c r="F65" s="18">
        <v>5</v>
      </c>
      <c r="G65" s="28">
        <v>200</v>
      </c>
      <c r="H6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65" s="36">
        <v>600</v>
      </c>
      <c r="J65" s="37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51">
        <f t="shared" ca="1" si="0"/>
        <v>44974</v>
      </c>
      <c r="D66" s="35" t="s">
        <v>26</v>
      </c>
      <c r="E66" s="18" t="s">
        <v>87</v>
      </c>
      <c r="F66" s="18">
        <v>3</v>
      </c>
      <c r="G66" s="28">
        <v>600</v>
      </c>
      <c r="H6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66" s="36">
        <v>1400</v>
      </c>
      <c r="J66" s="37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51">
        <f t="shared" ref="C67:C130" ca="1" si="1">TODAY()</f>
        <v>44974</v>
      </c>
      <c r="D67" s="35" t="s">
        <v>26</v>
      </c>
      <c r="E67" s="18" t="s">
        <v>88</v>
      </c>
      <c r="F67" s="18">
        <v>3</v>
      </c>
      <c r="G67" s="28">
        <v>400</v>
      </c>
      <c r="H6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67" s="36">
        <v>1000</v>
      </c>
      <c r="J67" s="37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51">
        <f t="shared" ca="1" si="1"/>
        <v>44974</v>
      </c>
      <c r="D68" s="35" t="s">
        <v>26</v>
      </c>
      <c r="E68" s="18" t="s">
        <v>89</v>
      </c>
      <c r="F68" s="18">
        <v>9</v>
      </c>
      <c r="G68" s="28">
        <v>200</v>
      </c>
      <c r="H6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68" s="36">
        <v>600</v>
      </c>
      <c r="J68" s="37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51">
        <f t="shared" ca="1" si="1"/>
        <v>44974</v>
      </c>
      <c r="D69" s="35" t="s">
        <v>26</v>
      </c>
      <c r="E69" s="18" t="s">
        <v>90</v>
      </c>
      <c r="F69" s="18">
        <v>16</v>
      </c>
      <c r="G69" s="28">
        <v>400</v>
      </c>
      <c r="H6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69" s="36">
        <v>1000</v>
      </c>
      <c r="J69" s="37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51">
        <f t="shared" ca="1" si="1"/>
        <v>44974</v>
      </c>
      <c r="D70" s="35" t="s">
        <v>26</v>
      </c>
      <c r="E70" s="18" t="s">
        <v>91</v>
      </c>
      <c r="F70" s="18">
        <v>4</v>
      </c>
      <c r="G70" s="28">
        <v>200</v>
      </c>
      <c r="H7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70" s="36">
        <v>600</v>
      </c>
      <c r="J70" s="37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51">
        <f t="shared" ca="1" si="1"/>
        <v>44974</v>
      </c>
      <c r="D71" s="35" t="s">
        <v>26</v>
      </c>
      <c r="E71" s="18" t="s">
        <v>92</v>
      </c>
      <c r="F71" s="18">
        <v>7</v>
      </c>
      <c r="G71" s="28">
        <v>400</v>
      </c>
      <c r="H7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71" s="36">
        <v>1000</v>
      </c>
      <c r="J71" s="37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51">
        <f t="shared" ca="1" si="1"/>
        <v>44974</v>
      </c>
      <c r="D72" s="35" t="s">
        <v>26</v>
      </c>
      <c r="E72" s="18" t="s">
        <v>93</v>
      </c>
      <c r="F72" s="18">
        <v>7</v>
      </c>
      <c r="G72" s="28">
        <v>200</v>
      </c>
      <c r="H7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72" s="36">
        <v>600</v>
      </c>
      <c r="J72" s="37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51">
        <f t="shared" ca="1" si="1"/>
        <v>44974</v>
      </c>
      <c r="D73" s="35" t="s">
        <v>26</v>
      </c>
      <c r="E73" s="18" t="s">
        <v>94</v>
      </c>
      <c r="F73" s="18">
        <v>29</v>
      </c>
      <c r="G73" s="28">
        <v>400</v>
      </c>
      <c r="H7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73" s="36">
        <v>1000</v>
      </c>
      <c r="J73" s="37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51">
        <f t="shared" ca="1" si="1"/>
        <v>44974</v>
      </c>
      <c r="D74" s="35" t="s">
        <v>26</v>
      </c>
      <c r="E74" s="18" t="s">
        <v>95</v>
      </c>
      <c r="F74" s="18">
        <v>24</v>
      </c>
      <c r="G74" s="28">
        <v>600</v>
      </c>
      <c r="H7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74" s="36">
        <v>1000</v>
      </c>
      <c r="J74" s="37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51">
        <f t="shared" ca="1" si="1"/>
        <v>44974</v>
      </c>
      <c r="D75" s="35" t="s">
        <v>26</v>
      </c>
      <c r="E75" s="18" t="s">
        <v>96</v>
      </c>
      <c r="F75" s="18">
        <v>18</v>
      </c>
      <c r="G75" s="28">
        <v>600</v>
      </c>
      <c r="H7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75" s="36">
        <v>1000</v>
      </c>
      <c r="J75" s="37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51">
        <f t="shared" ca="1" si="1"/>
        <v>44974</v>
      </c>
      <c r="D76" s="35" t="s">
        <v>26</v>
      </c>
      <c r="E76" s="18" t="s">
        <v>97</v>
      </c>
      <c r="F76" s="18">
        <v>13</v>
      </c>
      <c r="G76" s="28">
        <v>600</v>
      </c>
      <c r="H7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76" s="36">
        <v>1000</v>
      </c>
      <c r="J76" s="37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51">
        <f t="shared" ca="1" si="1"/>
        <v>44974</v>
      </c>
      <c r="D77" s="35" t="s">
        <v>26</v>
      </c>
      <c r="E77" s="18" t="s">
        <v>98</v>
      </c>
      <c r="F77" s="18">
        <v>3</v>
      </c>
      <c r="G77" s="28">
        <v>200</v>
      </c>
      <c r="H7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77" s="36">
        <v>600</v>
      </c>
      <c r="J77" s="37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51">
        <f t="shared" ca="1" si="1"/>
        <v>44974</v>
      </c>
      <c r="D78" s="35" t="s">
        <v>26</v>
      </c>
      <c r="E78" s="18" t="s">
        <v>99</v>
      </c>
      <c r="F78" s="18">
        <v>2</v>
      </c>
      <c r="G78" s="28">
        <v>600</v>
      </c>
      <c r="H7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78" s="36">
        <v>1400</v>
      </c>
      <c r="J78" s="37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51">
        <f t="shared" ca="1" si="1"/>
        <v>44974</v>
      </c>
      <c r="D79" s="35" t="s">
        <v>26</v>
      </c>
      <c r="E79" s="18" t="s">
        <v>100</v>
      </c>
      <c r="F79" s="18">
        <v>1</v>
      </c>
      <c r="G79" s="28">
        <v>400</v>
      </c>
      <c r="H7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79" s="36">
        <v>600</v>
      </c>
      <c r="J79" s="37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51">
        <f t="shared" ca="1" si="1"/>
        <v>44974</v>
      </c>
      <c r="D80" s="35" t="s">
        <v>26</v>
      </c>
      <c r="E80" s="18" t="s">
        <v>101</v>
      </c>
      <c r="F80" s="18">
        <v>12</v>
      </c>
      <c r="G80" s="28">
        <v>400</v>
      </c>
      <c r="H8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80" s="36">
        <v>1000</v>
      </c>
      <c r="J80" s="37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51">
        <f t="shared" ca="1" si="1"/>
        <v>44974</v>
      </c>
      <c r="D81" s="35" t="s">
        <v>26</v>
      </c>
      <c r="E81" s="18" t="s">
        <v>102</v>
      </c>
      <c r="F81" s="18">
        <v>19</v>
      </c>
      <c r="G81" s="28">
        <v>400</v>
      </c>
      <c r="H8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81" s="36">
        <v>1000</v>
      </c>
      <c r="J81" s="37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51">
        <f t="shared" ca="1" si="1"/>
        <v>44974</v>
      </c>
      <c r="D82" s="35" t="s">
        <v>26</v>
      </c>
      <c r="E82" s="18" t="s">
        <v>103</v>
      </c>
      <c r="F82" s="18">
        <v>4</v>
      </c>
      <c r="G82" s="28">
        <v>600</v>
      </c>
      <c r="H8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82" s="36">
        <v>1400</v>
      </c>
      <c r="J82" s="37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51">
        <f t="shared" ca="1" si="1"/>
        <v>44974</v>
      </c>
      <c r="D83" s="35" t="s">
        <v>26</v>
      </c>
      <c r="E83" s="18" t="s">
        <v>104</v>
      </c>
      <c r="F83" s="18">
        <v>20</v>
      </c>
      <c r="G83" s="28">
        <v>600</v>
      </c>
      <c r="H8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83" s="36">
        <v>1000</v>
      </c>
      <c r="J83" s="37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51">
        <f t="shared" ca="1" si="1"/>
        <v>44974</v>
      </c>
      <c r="D84" s="35" t="s">
        <v>26</v>
      </c>
      <c r="E84" s="18" t="s">
        <v>105</v>
      </c>
      <c r="F84" s="18">
        <v>1</v>
      </c>
      <c r="G84" s="28">
        <v>200</v>
      </c>
      <c r="H8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84" s="36">
        <v>600</v>
      </c>
      <c r="J84" s="37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51">
        <f t="shared" ca="1" si="1"/>
        <v>44974</v>
      </c>
      <c r="D85" s="35" t="s">
        <v>26</v>
      </c>
      <c r="E85" s="18" t="s">
        <v>106</v>
      </c>
      <c r="F85" s="18">
        <v>12</v>
      </c>
      <c r="G85" s="28">
        <v>400</v>
      </c>
      <c r="H8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85" s="36">
        <v>1000</v>
      </c>
      <c r="J85" s="37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51">
        <f t="shared" ca="1" si="1"/>
        <v>44974</v>
      </c>
      <c r="D86" s="35" t="s">
        <v>26</v>
      </c>
      <c r="E86" s="18" t="s">
        <v>107</v>
      </c>
      <c r="F86" s="18">
        <v>1</v>
      </c>
      <c r="G86" s="28">
        <v>200</v>
      </c>
      <c r="H8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86" s="36">
        <v>600</v>
      </c>
      <c r="J86" s="37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51">
        <f t="shared" ca="1" si="1"/>
        <v>44974</v>
      </c>
      <c r="D87" s="35" t="s">
        <v>26</v>
      </c>
      <c r="E87" s="18" t="s">
        <v>108</v>
      </c>
      <c r="F87" s="18">
        <v>3</v>
      </c>
      <c r="G87" s="28">
        <v>600</v>
      </c>
      <c r="H8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87" s="36">
        <v>1400</v>
      </c>
      <c r="J87" s="37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51">
        <f t="shared" ca="1" si="1"/>
        <v>44974</v>
      </c>
      <c r="D88" s="35" t="s">
        <v>26</v>
      </c>
      <c r="E88" s="18" t="s">
        <v>109</v>
      </c>
      <c r="F88" s="18">
        <v>10</v>
      </c>
      <c r="G88" s="28">
        <v>400</v>
      </c>
      <c r="H8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88" s="36">
        <v>1000</v>
      </c>
      <c r="J88" s="37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51">
        <f t="shared" ca="1" si="1"/>
        <v>44974</v>
      </c>
      <c r="D89" s="35" t="s">
        <v>26</v>
      </c>
      <c r="E89" s="18" t="s">
        <v>110</v>
      </c>
      <c r="F89" s="18">
        <v>26</v>
      </c>
      <c r="G89" s="28">
        <v>400</v>
      </c>
      <c r="H8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26</v>
      </c>
      <c r="I89" s="36">
        <v>1000</v>
      </c>
      <c r="J89" s="37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51">
        <f t="shared" ca="1" si="1"/>
        <v>44974</v>
      </c>
      <c r="D90" s="35" t="s">
        <v>26</v>
      </c>
      <c r="E90" s="18" t="s">
        <v>111</v>
      </c>
      <c r="F90" s="18">
        <v>1</v>
      </c>
      <c r="G90" s="28">
        <v>200</v>
      </c>
      <c r="H9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0" s="36">
        <v>600</v>
      </c>
      <c r="J90" s="37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51">
        <f t="shared" ca="1" si="1"/>
        <v>44974</v>
      </c>
      <c r="D91" s="35" t="s">
        <v>26</v>
      </c>
      <c r="E91" s="18" t="s">
        <v>112</v>
      </c>
      <c r="F91" s="18">
        <v>21</v>
      </c>
      <c r="G91" s="28">
        <v>400</v>
      </c>
      <c r="H9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91" s="36">
        <v>1000</v>
      </c>
      <c r="J91" s="37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51">
        <f t="shared" ca="1" si="1"/>
        <v>44974</v>
      </c>
      <c r="D92" s="35" t="s">
        <v>26</v>
      </c>
      <c r="E92" s="18" t="s">
        <v>113</v>
      </c>
      <c r="F92" s="18">
        <v>10</v>
      </c>
      <c r="G92" s="28">
        <v>400</v>
      </c>
      <c r="H9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92" s="36">
        <v>1000</v>
      </c>
      <c r="J92" s="37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51">
        <f t="shared" ca="1" si="1"/>
        <v>44974</v>
      </c>
      <c r="D93" s="35" t="s">
        <v>26</v>
      </c>
      <c r="E93" s="18" t="s">
        <v>114</v>
      </c>
      <c r="F93" s="18">
        <v>10</v>
      </c>
      <c r="G93" s="28">
        <v>400</v>
      </c>
      <c r="H9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93" s="36">
        <v>1000</v>
      </c>
      <c r="J93" s="37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51">
        <f t="shared" ca="1" si="1"/>
        <v>44974</v>
      </c>
      <c r="D94" s="35" t="s">
        <v>26</v>
      </c>
      <c r="E94" s="18" t="s">
        <v>115</v>
      </c>
      <c r="F94" s="18">
        <v>1</v>
      </c>
      <c r="G94" s="28">
        <v>600</v>
      </c>
      <c r="H9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4" s="36">
        <v>1400</v>
      </c>
      <c r="J94" s="37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51">
        <f t="shared" ca="1" si="1"/>
        <v>44974</v>
      </c>
      <c r="D95" s="35" t="s">
        <v>26</v>
      </c>
      <c r="E95" s="18" t="s">
        <v>116</v>
      </c>
      <c r="F95" s="18">
        <v>18</v>
      </c>
      <c r="G95" s="28">
        <v>400</v>
      </c>
      <c r="H9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95" s="36">
        <v>1000</v>
      </c>
      <c r="J95" s="37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51">
        <f t="shared" ca="1" si="1"/>
        <v>44974</v>
      </c>
      <c r="D96" s="35" t="s">
        <v>26</v>
      </c>
      <c r="E96" s="18" t="s">
        <v>117</v>
      </c>
      <c r="F96" s="18">
        <v>2</v>
      </c>
      <c r="G96" s="28">
        <v>200</v>
      </c>
      <c r="H9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96" s="36">
        <v>600</v>
      </c>
      <c r="J96" s="37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51">
        <f t="shared" ca="1" si="1"/>
        <v>44974</v>
      </c>
      <c r="D97" s="35" t="s">
        <v>26</v>
      </c>
      <c r="E97" s="18" t="s">
        <v>119</v>
      </c>
      <c r="F97" s="18">
        <v>5</v>
      </c>
      <c r="G97" s="28">
        <v>600</v>
      </c>
      <c r="H9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97" s="36">
        <v>1400</v>
      </c>
      <c r="J97" s="37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51">
        <f t="shared" ca="1" si="1"/>
        <v>44974</v>
      </c>
      <c r="D98" s="35" t="s">
        <v>26</v>
      </c>
      <c r="E98" s="18" t="s">
        <v>118</v>
      </c>
      <c r="F98" s="18">
        <v>1</v>
      </c>
      <c r="G98" s="28">
        <v>400</v>
      </c>
      <c r="H9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8" s="36">
        <v>1000</v>
      </c>
      <c r="J98" s="37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51">
        <f t="shared" ca="1" si="1"/>
        <v>44974</v>
      </c>
      <c r="D99" s="35" t="s">
        <v>26</v>
      </c>
      <c r="E99" s="18" t="s">
        <v>120</v>
      </c>
      <c r="F99" s="18">
        <v>6</v>
      </c>
      <c r="G99" s="28">
        <v>200</v>
      </c>
      <c r="H9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99" s="36">
        <v>600</v>
      </c>
      <c r="J99" s="37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51">
        <f t="shared" ca="1" si="1"/>
        <v>44974</v>
      </c>
      <c r="D100" s="35" t="s">
        <v>26</v>
      </c>
      <c r="E100" s="18" t="s">
        <v>123</v>
      </c>
      <c r="F100" s="18">
        <v>2</v>
      </c>
      <c r="G100" s="28">
        <v>600</v>
      </c>
      <c r="H10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00" s="36">
        <v>1400</v>
      </c>
      <c r="J100" s="37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51">
        <f t="shared" ca="1" si="1"/>
        <v>44974</v>
      </c>
      <c r="D101" s="35" t="s">
        <v>26</v>
      </c>
      <c r="E101" s="18" t="s">
        <v>122</v>
      </c>
      <c r="F101" s="18">
        <v>1</v>
      </c>
      <c r="G101" s="28">
        <v>600</v>
      </c>
      <c r="H10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01" s="36">
        <v>1400</v>
      </c>
      <c r="J101" s="37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51">
        <f t="shared" ca="1" si="1"/>
        <v>44974</v>
      </c>
      <c r="D102" s="35" t="s">
        <v>26</v>
      </c>
      <c r="E102" s="18" t="s">
        <v>121</v>
      </c>
      <c r="F102" s="18">
        <v>12</v>
      </c>
      <c r="G102" s="28">
        <v>600</v>
      </c>
      <c r="H10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02" s="36">
        <v>1400</v>
      </c>
      <c r="J102" s="37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51">
        <f t="shared" ca="1" si="1"/>
        <v>44974</v>
      </c>
      <c r="D103" s="35" t="s">
        <v>26</v>
      </c>
      <c r="E103" s="18" t="s">
        <v>124</v>
      </c>
      <c r="F103" s="18">
        <v>30</v>
      </c>
      <c r="G103" s="28">
        <v>400</v>
      </c>
      <c r="H10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103" s="36">
        <v>1000</v>
      </c>
      <c r="J103" s="37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51">
        <f t="shared" ca="1" si="1"/>
        <v>44974</v>
      </c>
      <c r="D104" s="35" t="s">
        <v>26</v>
      </c>
      <c r="E104" s="18" t="s">
        <v>125</v>
      </c>
      <c r="F104" s="18">
        <v>7</v>
      </c>
      <c r="G104" s="28">
        <v>400</v>
      </c>
      <c r="H10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04" s="36">
        <v>1000</v>
      </c>
      <c r="J104" s="37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51">
        <f t="shared" ca="1" si="1"/>
        <v>44974</v>
      </c>
      <c r="D105" s="35" t="s">
        <v>26</v>
      </c>
      <c r="E105" s="18" t="s">
        <v>126</v>
      </c>
      <c r="F105" s="18">
        <v>14</v>
      </c>
      <c r="G105" s="28">
        <v>400</v>
      </c>
      <c r="H10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05" s="36">
        <v>1000</v>
      </c>
      <c r="J105" s="37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51">
        <f t="shared" ca="1" si="1"/>
        <v>44974</v>
      </c>
      <c r="D106" s="35" t="s">
        <v>26</v>
      </c>
      <c r="E106" s="18" t="s">
        <v>127</v>
      </c>
      <c r="F106" s="18">
        <v>18</v>
      </c>
      <c r="G106" s="28">
        <v>400</v>
      </c>
      <c r="H10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06" s="36">
        <v>1000</v>
      </c>
      <c r="J106" s="37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51">
        <f t="shared" ca="1" si="1"/>
        <v>44974</v>
      </c>
      <c r="D107" s="35" t="s">
        <v>26</v>
      </c>
      <c r="E107" s="18" t="s">
        <v>250</v>
      </c>
      <c r="F107" s="18">
        <v>10</v>
      </c>
      <c r="G107" s="28">
        <v>400</v>
      </c>
      <c r="H10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07" s="36">
        <v>1000</v>
      </c>
      <c r="J107" s="37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51">
        <f t="shared" ca="1" si="1"/>
        <v>44974</v>
      </c>
      <c r="D108" s="35" t="s">
        <v>26</v>
      </c>
      <c r="E108" s="18" t="s">
        <v>128</v>
      </c>
      <c r="F108" s="18">
        <v>24</v>
      </c>
      <c r="G108" s="28">
        <v>400</v>
      </c>
      <c r="H10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08" s="36">
        <v>1000</v>
      </c>
      <c r="J108" s="37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51">
        <f t="shared" ca="1" si="1"/>
        <v>44974</v>
      </c>
      <c r="D109" s="35" t="s">
        <v>26</v>
      </c>
      <c r="E109" s="18" t="s">
        <v>129</v>
      </c>
      <c r="F109" s="18">
        <v>1</v>
      </c>
      <c r="G109" s="28">
        <v>200</v>
      </c>
      <c r="H10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09" s="36">
        <v>600</v>
      </c>
      <c r="J109" s="37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51">
        <f t="shared" ca="1" si="1"/>
        <v>44974</v>
      </c>
      <c r="D110" s="35" t="s">
        <v>26</v>
      </c>
      <c r="E110" s="18" t="s">
        <v>130</v>
      </c>
      <c r="F110" s="18">
        <v>18</v>
      </c>
      <c r="G110" s="28">
        <v>400</v>
      </c>
      <c r="H11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10" s="36">
        <v>1000</v>
      </c>
      <c r="J110" s="37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51">
        <f t="shared" ca="1" si="1"/>
        <v>44974</v>
      </c>
      <c r="D111" s="35" t="s">
        <v>26</v>
      </c>
      <c r="E111" s="18" t="s">
        <v>131</v>
      </c>
      <c r="F111" s="18">
        <v>2</v>
      </c>
      <c r="G111" s="28">
        <v>200</v>
      </c>
      <c r="H11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1" s="36">
        <v>600</v>
      </c>
      <c r="J111" s="37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51">
        <f t="shared" ca="1" si="1"/>
        <v>44974</v>
      </c>
      <c r="D112" s="35" t="s">
        <v>26</v>
      </c>
      <c r="E112" s="18" t="s">
        <v>132</v>
      </c>
      <c r="F112" s="18">
        <v>18</v>
      </c>
      <c r="G112" s="28">
        <v>400</v>
      </c>
      <c r="H11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12" s="36">
        <v>1000</v>
      </c>
      <c r="J112" s="37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51">
        <f t="shared" ca="1" si="1"/>
        <v>44974</v>
      </c>
      <c r="D113" s="35" t="s">
        <v>26</v>
      </c>
      <c r="E113" s="18" t="s">
        <v>133</v>
      </c>
      <c r="F113" s="18">
        <v>15</v>
      </c>
      <c r="G113" s="28">
        <v>400</v>
      </c>
      <c r="H11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13" s="36">
        <v>1000</v>
      </c>
      <c r="J113" s="37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51">
        <f t="shared" ca="1" si="1"/>
        <v>44974</v>
      </c>
      <c r="D114" s="35" t="s">
        <v>26</v>
      </c>
      <c r="E114" s="18" t="s">
        <v>134</v>
      </c>
      <c r="F114" s="18">
        <v>2</v>
      </c>
      <c r="G114" s="28">
        <v>200</v>
      </c>
      <c r="H11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4" s="36">
        <v>600</v>
      </c>
      <c r="J114" s="37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51">
        <f t="shared" ca="1" si="1"/>
        <v>44974</v>
      </c>
      <c r="D115" s="35" t="s">
        <v>26</v>
      </c>
      <c r="E115" s="18" t="s">
        <v>135</v>
      </c>
      <c r="F115" s="18">
        <v>14</v>
      </c>
      <c r="G115" s="28">
        <v>400</v>
      </c>
      <c r="H11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15" s="36">
        <v>1000</v>
      </c>
      <c r="J115" s="37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51">
        <f t="shared" ca="1" si="1"/>
        <v>44974</v>
      </c>
      <c r="D116" s="35" t="s">
        <v>26</v>
      </c>
      <c r="E116" s="18" t="s">
        <v>136</v>
      </c>
      <c r="F116" s="18">
        <v>6</v>
      </c>
      <c r="G116" s="28">
        <v>400</v>
      </c>
      <c r="H11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116" s="36">
        <v>1000</v>
      </c>
      <c r="J116" s="37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51">
        <f t="shared" ca="1" si="1"/>
        <v>44974</v>
      </c>
      <c r="D117" s="35" t="s">
        <v>26</v>
      </c>
      <c r="E117" s="18" t="s">
        <v>137</v>
      </c>
      <c r="F117" s="18">
        <v>3</v>
      </c>
      <c r="G117" s="28">
        <v>600</v>
      </c>
      <c r="H11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17" s="36">
        <v>1400</v>
      </c>
      <c r="J117" s="37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51">
        <f t="shared" ca="1" si="1"/>
        <v>44974</v>
      </c>
      <c r="D118" s="35" t="s">
        <v>26</v>
      </c>
      <c r="E118" s="18" t="s">
        <v>138</v>
      </c>
      <c r="F118" s="18">
        <v>16</v>
      </c>
      <c r="G118" s="28">
        <v>400</v>
      </c>
      <c r="H11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18" s="36">
        <v>1000</v>
      </c>
      <c r="J118" s="37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51">
        <f t="shared" ca="1" si="1"/>
        <v>44974</v>
      </c>
      <c r="D119" s="35" t="s">
        <v>26</v>
      </c>
      <c r="E119" s="18" t="s">
        <v>139</v>
      </c>
      <c r="F119" s="18">
        <v>1</v>
      </c>
      <c r="G119" s="28">
        <v>600</v>
      </c>
      <c r="H11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19" s="36">
        <v>1400</v>
      </c>
      <c r="J119" s="37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51">
        <f t="shared" ca="1" si="1"/>
        <v>44974</v>
      </c>
      <c r="D120" s="35" t="s">
        <v>26</v>
      </c>
      <c r="E120" s="18" t="s">
        <v>140</v>
      </c>
      <c r="F120" s="18">
        <v>13</v>
      </c>
      <c r="G120" s="28">
        <v>400</v>
      </c>
      <c r="H12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20" s="36">
        <v>1000</v>
      </c>
      <c r="J120" s="37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51">
        <f t="shared" ca="1" si="1"/>
        <v>44974</v>
      </c>
      <c r="D121" s="35" t="s">
        <v>26</v>
      </c>
      <c r="E121" s="18" t="s">
        <v>141</v>
      </c>
      <c r="F121" s="18">
        <v>10</v>
      </c>
      <c r="G121" s="28">
        <v>200</v>
      </c>
      <c r="H12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21" s="36">
        <v>600</v>
      </c>
      <c r="J121" s="37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51">
        <f t="shared" ca="1" si="1"/>
        <v>44974</v>
      </c>
      <c r="D122" s="35" t="s">
        <v>26</v>
      </c>
      <c r="E122" s="18" t="s">
        <v>142</v>
      </c>
      <c r="F122" s="18">
        <v>9</v>
      </c>
      <c r="G122" s="28">
        <v>400</v>
      </c>
      <c r="H12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122" s="36">
        <v>1000</v>
      </c>
      <c r="J122" s="37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51">
        <f t="shared" ca="1" si="1"/>
        <v>44974</v>
      </c>
      <c r="D123" s="35" t="s">
        <v>26</v>
      </c>
      <c r="E123" s="18" t="s">
        <v>143</v>
      </c>
      <c r="F123" s="18">
        <v>4</v>
      </c>
      <c r="G123" s="28">
        <v>600</v>
      </c>
      <c r="H12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23" s="36">
        <v>1400</v>
      </c>
      <c r="J123" s="37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51">
        <f t="shared" ca="1" si="1"/>
        <v>44974</v>
      </c>
      <c r="D124" s="35" t="s">
        <v>26</v>
      </c>
      <c r="E124" s="18" t="s">
        <v>144</v>
      </c>
      <c r="F124" s="18">
        <v>8</v>
      </c>
      <c r="G124" s="28">
        <v>200</v>
      </c>
      <c r="H12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24" s="36">
        <v>600</v>
      </c>
      <c r="J124" s="37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51">
        <f t="shared" ca="1" si="1"/>
        <v>44974</v>
      </c>
      <c r="D125" s="35" t="s">
        <v>26</v>
      </c>
      <c r="E125" s="18" t="s">
        <v>145</v>
      </c>
      <c r="F125" s="18">
        <v>1</v>
      </c>
      <c r="G125" s="28">
        <v>600</v>
      </c>
      <c r="H12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25" s="36">
        <v>1400</v>
      </c>
      <c r="J125" s="37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51">
        <f t="shared" ca="1" si="1"/>
        <v>44974</v>
      </c>
      <c r="D126" s="35" t="s">
        <v>26</v>
      </c>
      <c r="E126" s="18" t="s">
        <v>147</v>
      </c>
      <c r="F126" s="18">
        <v>13</v>
      </c>
      <c r="G126" s="28">
        <v>400</v>
      </c>
      <c r="H12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26" s="36">
        <v>1000</v>
      </c>
      <c r="J126" s="37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51">
        <f t="shared" ca="1" si="1"/>
        <v>44974</v>
      </c>
      <c r="D127" s="35" t="s">
        <v>26</v>
      </c>
      <c r="E127" s="18" t="s">
        <v>148</v>
      </c>
      <c r="F127" s="18">
        <v>4</v>
      </c>
      <c r="G127" s="28">
        <v>200</v>
      </c>
      <c r="H12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27" s="36">
        <v>600</v>
      </c>
      <c r="J127" s="37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51">
        <f t="shared" ca="1" si="1"/>
        <v>44974</v>
      </c>
      <c r="D128" s="35" t="s">
        <v>26</v>
      </c>
      <c r="E128" s="18" t="s">
        <v>149</v>
      </c>
      <c r="F128" s="18">
        <v>14</v>
      </c>
      <c r="G128" s="28">
        <v>400</v>
      </c>
      <c r="H12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28" s="36">
        <v>1000</v>
      </c>
      <c r="J128" s="37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51">
        <f t="shared" ca="1" si="1"/>
        <v>44974</v>
      </c>
      <c r="D129" s="35" t="s">
        <v>26</v>
      </c>
      <c r="E129" s="18" t="s">
        <v>150</v>
      </c>
      <c r="F129" s="18">
        <v>10</v>
      </c>
      <c r="G129" s="28">
        <v>400</v>
      </c>
      <c r="H12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29" s="36">
        <v>1000</v>
      </c>
      <c r="J129" s="37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51">
        <f t="shared" ca="1" si="1"/>
        <v>44974</v>
      </c>
      <c r="D130" s="35" t="s">
        <v>26</v>
      </c>
      <c r="E130" s="18" t="s">
        <v>151</v>
      </c>
      <c r="F130" s="18">
        <v>18</v>
      </c>
      <c r="G130" s="28">
        <v>400</v>
      </c>
      <c r="H13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30" s="36">
        <v>1000</v>
      </c>
      <c r="J130" s="37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51">
        <f t="shared" ref="C131:C194" ca="1" si="2">TODAY()</f>
        <v>44974</v>
      </c>
      <c r="D131" s="35" t="s">
        <v>26</v>
      </c>
      <c r="E131" s="18" t="s">
        <v>152</v>
      </c>
      <c r="F131" s="18">
        <v>1</v>
      </c>
      <c r="G131" s="28">
        <v>600</v>
      </c>
      <c r="H13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31" s="36">
        <v>1400</v>
      </c>
      <c r="J131" s="37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51">
        <f t="shared" ca="1" si="2"/>
        <v>44974</v>
      </c>
      <c r="D132" s="35" t="s">
        <v>26</v>
      </c>
      <c r="E132" s="18" t="s">
        <v>274</v>
      </c>
      <c r="F132" s="18">
        <v>7</v>
      </c>
      <c r="G132" s="28">
        <v>400</v>
      </c>
      <c r="H13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32" s="36">
        <v>1000</v>
      </c>
      <c r="J132" s="37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51">
        <f t="shared" ca="1" si="2"/>
        <v>44974</v>
      </c>
      <c r="D133" s="35" t="s">
        <v>26</v>
      </c>
      <c r="E133" s="18" t="s">
        <v>153</v>
      </c>
      <c r="F133" s="18">
        <v>24</v>
      </c>
      <c r="G133" s="28">
        <v>400</v>
      </c>
      <c r="H13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33" s="36">
        <v>1000</v>
      </c>
      <c r="J133" s="37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51">
        <f t="shared" ca="1" si="2"/>
        <v>44974</v>
      </c>
      <c r="D134" s="35" t="s">
        <v>26</v>
      </c>
      <c r="E134" s="18" t="s">
        <v>154</v>
      </c>
      <c r="F134" s="18">
        <v>13</v>
      </c>
      <c r="G134" s="28">
        <v>400</v>
      </c>
      <c r="H13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34" s="36">
        <v>1000</v>
      </c>
      <c r="J134" s="37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51">
        <f t="shared" ca="1" si="2"/>
        <v>44974</v>
      </c>
      <c r="D135" s="35" t="s">
        <v>26</v>
      </c>
      <c r="E135" s="18" t="s">
        <v>155</v>
      </c>
      <c r="F135" s="18">
        <v>8</v>
      </c>
      <c r="G135" s="28">
        <v>600</v>
      </c>
      <c r="H13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35" s="36">
        <v>1400</v>
      </c>
      <c r="J135" s="37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51">
        <f t="shared" ca="1" si="2"/>
        <v>44974</v>
      </c>
      <c r="D136" s="35" t="s">
        <v>26</v>
      </c>
      <c r="E136" s="18" t="s">
        <v>156</v>
      </c>
      <c r="F136" s="18">
        <v>1</v>
      </c>
      <c r="G136" s="28">
        <v>200</v>
      </c>
      <c r="H13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36" s="36">
        <v>600</v>
      </c>
      <c r="J136" s="37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51">
        <f t="shared" ca="1" si="2"/>
        <v>44974</v>
      </c>
      <c r="D137" s="35" t="s">
        <v>26</v>
      </c>
      <c r="E137" s="18" t="s">
        <v>157</v>
      </c>
      <c r="F137" s="18">
        <v>14</v>
      </c>
      <c r="G137" s="28">
        <v>600</v>
      </c>
      <c r="H13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37" s="36">
        <v>1400</v>
      </c>
      <c r="J137" s="37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51">
        <f t="shared" ca="1" si="2"/>
        <v>44974</v>
      </c>
      <c r="D138" s="35" t="s">
        <v>26</v>
      </c>
      <c r="E138" s="18" t="s">
        <v>158</v>
      </c>
      <c r="F138" s="18">
        <v>11</v>
      </c>
      <c r="G138" s="28">
        <v>400</v>
      </c>
      <c r="H13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138" s="36">
        <v>1000</v>
      </c>
      <c r="J138" s="37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51">
        <f t="shared" ca="1" si="2"/>
        <v>44974</v>
      </c>
      <c r="D139" s="35" t="s">
        <v>26</v>
      </c>
      <c r="E139" s="18" t="s">
        <v>159</v>
      </c>
      <c r="F139" s="18">
        <v>5</v>
      </c>
      <c r="G139" s="28">
        <v>200</v>
      </c>
      <c r="H13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39" s="36">
        <v>600</v>
      </c>
      <c r="J139" s="37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51">
        <f t="shared" ca="1" si="2"/>
        <v>44974</v>
      </c>
      <c r="D140" s="35" t="s">
        <v>26</v>
      </c>
      <c r="E140" s="18" t="s">
        <v>163</v>
      </c>
      <c r="F140" s="18">
        <v>5</v>
      </c>
      <c r="G140" s="28">
        <v>400</v>
      </c>
      <c r="H14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40" s="36">
        <v>1000</v>
      </c>
      <c r="J140" s="37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51">
        <f t="shared" ca="1" si="2"/>
        <v>44974</v>
      </c>
      <c r="D141" s="35" t="s">
        <v>26</v>
      </c>
      <c r="E141" s="18" t="s">
        <v>164</v>
      </c>
      <c r="F141" s="18">
        <v>24</v>
      </c>
      <c r="G141" s="28">
        <v>400</v>
      </c>
      <c r="H14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41" s="36">
        <v>1000</v>
      </c>
      <c r="J141" s="37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51">
        <f t="shared" ca="1" si="2"/>
        <v>44974</v>
      </c>
      <c r="D142" s="35" t="s">
        <v>26</v>
      </c>
      <c r="E142" s="18" t="s">
        <v>165</v>
      </c>
      <c r="F142" s="18">
        <v>4</v>
      </c>
      <c r="G142" s="28">
        <v>200</v>
      </c>
      <c r="H14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42" s="36">
        <v>600</v>
      </c>
      <c r="J142" s="37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51">
        <f t="shared" ca="1" si="2"/>
        <v>44974</v>
      </c>
      <c r="D143" s="35" t="s">
        <v>26</v>
      </c>
      <c r="E143" s="18" t="s">
        <v>166</v>
      </c>
      <c r="F143" s="18">
        <v>4</v>
      </c>
      <c r="G143" s="28">
        <v>600</v>
      </c>
      <c r="H14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43" s="36">
        <v>1400</v>
      </c>
      <c r="J143" s="37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51">
        <f t="shared" ca="1" si="2"/>
        <v>44974</v>
      </c>
      <c r="D144" s="35" t="s">
        <v>167</v>
      </c>
      <c r="E144" s="18" t="s">
        <v>168</v>
      </c>
      <c r="F144" s="18">
        <v>25</v>
      </c>
      <c r="G144" s="28">
        <v>100</v>
      </c>
      <c r="H14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144" s="36">
        <v>400</v>
      </c>
      <c r="J144" s="37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51">
        <f t="shared" ca="1" si="2"/>
        <v>44974</v>
      </c>
      <c r="D145" s="35" t="s">
        <v>167</v>
      </c>
      <c r="E145" s="18" t="s">
        <v>169</v>
      </c>
      <c r="F145" s="18">
        <v>14</v>
      </c>
      <c r="G145" s="28">
        <v>100</v>
      </c>
      <c r="H14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45" s="36">
        <v>400</v>
      </c>
      <c r="J145" s="37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51">
        <f t="shared" ca="1" si="2"/>
        <v>44974</v>
      </c>
      <c r="D146" s="35" t="s">
        <v>167</v>
      </c>
      <c r="E146" s="18" t="s">
        <v>170</v>
      </c>
      <c r="F146" s="18">
        <v>16</v>
      </c>
      <c r="G146" s="28">
        <v>100</v>
      </c>
      <c r="H14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46" s="36">
        <v>400</v>
      </c>
      <c r="J146" s="37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51">
        <f t="shared" ca="1" si="2"/>
        <v>44974</v>
      </c>
      <c r="D147" s="35" t="s">
        <v>167</v>
      </c>
      <c r="E147" s="18" t="s">
        <v>171</v>
      </c>
      <c r="F147" s="18">
        <v>3</v>
      </c>
      <c r="G147" s="28">
        <v>100</v>
      </c>
      <c r="H14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47" s="36">
        <v>400</v>
      </c>
      <c r="J147" s="37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51">
        <f t="shared" ca="1" si="2"/>
        <v>44974</v>
      </c>
      <c r="D148" s="35" t="s">
        <v>167</v>
      </c>
      <c r="E148" s="18" t="s">
        <v>172</v>
      </c>
      <c r="F148" s="18">
        <v>41</v>
      </c>
      <c r="G148" s="28">
        <v>100</v>
      </c>
      <c r="H14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41</v>
      </c>
      <c r="I148" s="36">
        <v>400</v>
      </c>
      <c r="J148" s="37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51">
        <f t="shared" ca="1" si="2"/>
        <v>44974</v>
      </c>
      <c r="D149" s="35" t="s">
        <v>167</v>
      </c>
      <c r="E149" s="18" t="s">
        <v>173</v>
      </c>
      <c r="F149" s="18">
        <v>26</v>
      </c>
      <c r="G149" s="28">
        <v>100</v>
      </c>
      <c r="H14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26</v>
      </c>
      <c r="I149" s="36">
        <v>400</v>
      </c>
      <c r="J149" s="37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51">
        <f t="shared" ca="1" si="2"/>
        <v>44974</v>
      </c>
      <c r="D150" s="35" t="s">
        <v>167</v>
      </c>
      <c r="E150" s="18" t="s">
        <v>174</v>
      </c>
      <c r="F150" s="18">
        <v>2</v>
      </c>
      <c r="G150" s="28">
        <v>100</v>
      </c>
      <c r="H15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50" s="36">
        <v>400</v>
      </c>
      <c r="J150" s="37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51">
        <f t="shared" ca="1" si="2"/>
        <v>44974</v>
      </c>
      <c r="D151" s="35" t="s">
        <v>167</v>
      </c>
      <c r="E151" s="18" t="s">
        <v>175</v>
      </c>
      <c r="F151" s="18">
        <v>57</v>
      </c>
      <c r="G151" s="28">
        <v>100</v>
      </c>
      <c r="H15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57</v>
      </c>
      <c r="I151" s="36">
        <v>400</v>
      </c>
      <c r="J151" s="37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51">
        <f t="shared" ca="1" si="2"/>
        <v>44974</v>
      </c>
      <c r="D152" s="35" t="s">
        <v>167</v>
      </c>
      <c r="E152" s="18" t="s">
        <v>176</v>
      </c>
      <c r="F152" s="18">
        <v>13</v>
      </c>
      <c r="G152" s="28">
        <v>100</v>
      </c>
      <c r="H15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52" s="36">
        <v>400</v>
      </c>
      <c r="J152" s="37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51">
        <f t="shared" ca="1" si="2"/>
        <v>44974</v>
      </c>
      <c r="D153" s="35" t="s">
        <v>167</v>
      </c>
      <c r="E153" s="18" t="s">
        <v>176</v>
      </c>
      <c r="F153" s="18">
        <v>10</v>
      </c>
      <c r="G153" s="28">
        <v>100</v>
      </c>
      <c r="H15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53" s="36">
        <v>400</v>
      </c>
      <c r="J153" s="37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51">
        <f t="shared" ca="1" si="2"/>
        <v>44974</v>
      </c>
      <c r="D154" s="35" t="s">
        <v>177</v>
      </c>
      <c r="E154" s="18" t="s">
        <v>178</v>
      </c>
      <c r="F154" s="18">
        <v>22</v>
      </c>
      <c r="G154" s="28">
        <v>900</v>
      </c>
      <c r="H15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54" s="36">
        <v>1800</v>
      </c>
      <c r="J154" s="37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51">
        <f t="shared" ca="1" si="2"/>
        <v>44974</v>
      </c>
      <c r="D155" s="35" t="s">
        <v>177</v>
      </c>
      <c r="E155" s="18" t="s">
        <v>179</v>
      </c>
      <c r="F155" s="18">
        <v>4</v>
      </c>
      <c r="G155" s="28">
        <v>300</v>
      </c>
      <c r="H15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55" s="36">
        <v>800</v>
      </c>
      <c r="J155" s="37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51">
        <f t="shared" ca="1" si="2"/>
        <v>44974</v>
      </c>
      <c r="D156" s="35" t="s">
        <v>177</v>
      </c>
      <c r="E156" s="18" t="s">
        <v>180</v>
      </c>
      <c r="F156" s="18">
        <v>22</v>
      </c>
      <c r="G156" s="28">
        <v>1000</v>
      </c>
      <c r="H15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56" s="36">
        <v>2000</v>
      </c>
      <c r="J156" s="37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51">
        <f t="shared" ca="1" si="2"/>
        <v>44974</v>
      </c>
      <c r="D157" s="35" t="s">
        <v>177</v>
      </c>
      <c r="E157" s="18" t="s">
        <v>181</v>
      </c>
      <c r="F157" s="18">
        <v>3</v>
      </c>
      <c r="G157" s="28">
        <v>3000</v>
      </c>
      <c r="H15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57" s="36">
        <v>5000</v>
      </c>
      <c r="J157" s="37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51">
        <f t="shared" ca="1" si="2"/>
        <v>44974</v>
      </c>
      <c r="D158" s="35" t="s">
        <v>177</v>
      </c>
      <c r="E158" s="18" t="s">
        <v>182</v>
      </c>
      <c r="F158" s="18">
        <v>4</v>
      </c>
      <c r="G158" s="28">
        <v>700</v>
      </c>
      <c r="H15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58" s="36">
        <v>1500</v>
      </c>
      <c r="J158" s="37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51">
        <f t="shared" ca="1" si="2"/>
        <v>44974</v>
      </c>
      <c r="D159" s="35" t="s">
        <v>183</v>
      </c>
      <c r="E159" s="18" t="s">
        <v>184</v>
      </c>
      <c r="F159" s="18">
        <v>9</v>
      </c>
      <c r="G159" s="28">
        <v>400</v>
      </c>
      <c r="H15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159" s="36">
        <v>1200</v>
      </c>
      <c r="J159" s="37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51">
        <f t="shared" ca="1" si="2"/>
        <v>44974</v>
      </c>
      <c r="D160" s="35" t="s">
        <v>177</v>
      </c>
      <c r="E160" s="18" t="s">
        <v>185</v>
      </c>
      <c r="F160" s="18">
        <v>66</v>
      </c>
      <c r="G160" s="28">
        <v>400</v>
      </c>
      <c r="H16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66</v>
      </c>
      <c r="I160" s="36">
        <v>900</v>
      </c>
      <c r="J160" s="37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51">
        <f t="shared" ca="1" si="2"/>
        <v>44974</v>
      </c>
      <c r="D161" s="35" t="s">
        <v>183</v>
      </c>
      <c r="E161" s="18" t="s">
        <v>186</v>
      </c>
      <c r="F161" s="18">
        <v>1</v>
      </c>
      <c r="G161" s="28">
        <v>600</v>
      </c>
      <c r="H16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61" s="36">
        <v>1200</v>
      </c>
      <c r="J161" s="37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51">
        <f t="shared" ca="1" si="2"/>
        <v>44974</v>
      </c>
      <c r="D162" s="35" t="s">
        <v>177</v>
      </c>
      <c r="E162" s="18" t="s">
        <v>187</v>
      </c>
      <c r="F162" s="18">
        <v>2</v>
      </c>
      <c r="G162" s="28">
        <v>3000</v>
      </c>
      <c r="H16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2" s="36">
        <v>5000</v>
      </c>
      <c r="J162" s="37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51">
        <f t="shared" ca="1" si="2"/>
        <v>44974</v>
      </c>
      <c r="D163" s="35" t="s">
        <v>177</v>
      </c>
      <c r="E163" s="18" t="s">
        <v>188</v>
      </c>
      <c r="F163" s="18">
        <v>2</v>
      </c>
      <c r="G163" s="28">
        <v>700</v>
      </c>
      <c r="H16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3" s="36">
        <v>1400</v>
      </c>
      <c r="J163" s="37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51">
        <f t="shared" ca="1" si="2"/>
        <v>44974</v>
      </c>
      <c r="D164" s="35" t="s">
        <v>177</v>
      </c>
      <c r="E164" s="18" t="s">
        <v>189</v>
      </c>
      <c r="F164" s="18">
        <v>5</v>
      </c>
      <c r="G164" s="28">
        <v>750</v>
      </c>
      <c r="H16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64" s="36">
        <v>1400</v>
      </c>
      <c r="J164" s="37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51">
        <f t="shared" ca="1" si="2"/>
        <v>44974</v>
      </c>
      <c r="D165" s="35" t="s">
        <v>177</v>
      </c>
      <c r="E165" s="18" t="s">
        <v>190</v>
      </c>
      <c r="F165" s="18">
        <v>7</v>
      </c>
      <c r="G165" s="28">
        <v>700</v>
      </c>
      <c r="H16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65" s="36">
        <v>1500</v>
      </c>
      <c r="J165" s="37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51">
        <f t="shared" ca="1" si="2"/>
        <v>44974</v>
      </c>
      <c r="D166" s="35" t="s">
        <v>183</v>
      </c>
      <c r="E166" s="18" t="s">
        <v>191</v>
      </c>
      <c r="F166" s="18">
        <v>12</v>
      </c>
      <c r="G166" s="28">
        <v>200</v>
      </c>
      <c r="H16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66" s="36">
        <v>700</v>
      </c>
      <c r="J166" s="37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51">
        <f t="shared" ca="1" si="2"/>
        <v>44974</v>
      </c>
      <c r="D167" s="35" t="s">
        <v>183</v>
      </c>
      <c r="E167" s="18" t="s">
        <v>192</v>
      </c>
      <c r="F167" s="18">
        <v>30</v>
      </c>
      <c r="G167" s="28">
        <v>400</v>
      </c>
      <c r="H16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167" s="36">
        <v>900</v>
      </c>
      <c r="J167" s="37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51">
        <f t="shared" ca="1" si="2"/>
        <v>44974</v>
      </c>
      <c r="D168" s="35" t="s">
        <v>183</v>
      </c>
      <c r="E168" s="18" t="s">
        <v>193</v>
      </c>
      <c r="F168" s="18">
        <v>1</v>
      </c>
      <c r="G168" s="28">
        <v>600</v>
      </c>
      <c r="H16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68" s="36">
        <v>1200</v>
      </c>
      <c r="J168" s="37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51">
        <f t="shared" ca="1" si="2"/>
        <v>44974</v>
      </c>
      <c r="D169" s="35" t="s">
        <v>183</v>
      </c>
      <c r="E169" s="18" t="s">
        <v>194</v>
      </c>
      <c r="F169" s="18">
        <v>42</v>
      </c>
      <c r="G169" s="28">
        <v>200</v>
      </c>
      <c r="H16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42</v>
      </c>
      <c r="I169" s="36">
        <v>700</v>
      </c>
      <c r="J169" s="37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51">
        <f t="shared" ca="1" si="2"/>
        <v>44974</v>
      </c>
      <c r="D170" s="35" t="s">
        <v>183</v>
      </c>
      <c r="E170" s="18" t="s">
        <v>195</v>
      </c>
      <c r="F170" s="18">
        <v>5</v>
      </c>
      <c r="G170" s="28">
        <v>500</v>
      </c>
      <c r="H17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70" s="36">
        <v>1200</v>
      </c>
      <c r="J170" s="37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51">
        <f t="shared" ca="1" si="2"/>
        <v>44974</v>
      </c>
      <c r="D171" s="35" t="s">
        <v>197</v>
      </c>
      <c r="E171" s="18" t="s">
        <v>196</v>
      </c>
      <c r="F171" s="18">
        <v>22</v>
      </c>
      <c r="G171" s="28">
        <v>150</v>
      </c>
      <c r="H17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71" s="36">
        <v>500</v>
      </c>
      <c r="J171" s="37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51">
        <f t="shared" ca="1" si="2"/>
        <v>44974</v>
      </c>
      <c r="D172" s="35" t="s">
        <v>197</v>
      </c>
      <c r="E172" s="18" t="s">
        <v>198</v>
      </c>
      <c r="F172" s="18">
        <v>14</v>
      </c>
      <c r="G172" s="28">
        <v>250</v>
      </c>
      <c r="H17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72" s="36">
        <v>500</v>
      </c>
      <c r="J172" s="37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51">
        <f t="shared" ca="1" si="2"/>
        <v>44974</v>
      </c>
      <c r="D173" s="35" t="s">
        <v>197</v>
      </c>
      <c r="E173" s="18" t="s">
        <v>199</v>
      </c>
      <c r="F173" s="18">
        <v>12</v>
      </c>
      <c r="G173" s="28">
        <v>500</v>
      </c>
      <c r="H17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73" s="36">
        <v>1000</v>
      </c>
      <c r="J173" s="37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51">
        <f t="shared" ca="1" si="2"/>
        <v>44974</v>
      </c>
      <c r="D174" s="35" t="s">
        <v>197</v>
      </c>
      <c r="E174" s="18" t="s">
        <v>200</v>
      </c>
      <c r="F174" s="18">
        <v>2</v>
      </c>
      <c r="G174" s="28">
        <v>1100</v>
      </c>
      <c r="H17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74" s="36">
        <v>2500</v>
      </c>
      <c r="J174" s="37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51">
        <f t="shared" ca="1" si="2"/>
        <v>44974</v>
      </c>
      <c r="D175" s="35" t="s">
        <v>205</v>
      </c>
      <c r="E175" s="18" t="s">
        <v>201</v>
      </c>
      <c r="F175" s="18">
        <v>17</v>
      </c>
      <c r="G175" s="28">
        <v>100</v>
      </c>
      <c r="H17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75" s="36">
        <v>500</v>
      </c>
      <c r="J175" s="37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51">
        <f t="shared" ca="1" si="2"/>
        <v>44974</v>
      </c>
      <c r="D176" s="35" t="s">
        <v>205</v>
      </c>
      <c r="E176" s="18" t="s">
        <v>202</v>
      </c>
      <c r="F176" s="18">
        <v>1</v>
      </c>
      <c r="G176" s="28">
        <v>400</v>
      </c>
      <c r="H17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76" s="36">
        <v>700</v>
      </c>
      <c r="J176" s="37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51">
        <f t="shared" ca="1" si="2"/>
        <v>44974</v>
      </c>
      <c r="D177" s="35" t="s">
        <v>205</v>
      </c>
      <c r="E177" s="18" t="s">
        <v>203</v>
      </c>
      <c r="F177" s="18">
        <v>5</v>
      </c>
      <c r="G177" s="28">
        <v>400</v>
      </c>
      <c r="H17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77" s="36">
        <v>700</v>
      </c>
      <c r="J177" s="37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51">
        <f t="shared" ca="1" si="2"/>
        <v>44974</v>
      </c>
      <c r="D178" s="35" t="s">
        <v>205</v>
      </c>
      <c r="E178" s="18" t="s">
        <v>204</v>
      </c>
      <c r="F178" s="18">
        <v>5</v>
      </c>
      <c r="G178" s="28">
        <v>500</v>
      </c>
      <c r="H17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78" s="36">
        <v>1200</v>
      </c>
      <c r="J178" s="37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51">
        <f t="shared" ca="1" si="2"/>
        <v>44974</v>
      </c>
      <c r="D179" s="35" t="s">
        <v>167</v>
      </c>
      <c r="E179" s="18" t="s">
        <v>206</v>
      </c>
      <c r="F179" s="18">
        <v>26</v>
      </c>
      <c r="G179" s="28">
        <v>150</v>
      </c>
      <c r="H17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26</v>
      </c>
      <c r="I179" s="36">
        <v>400</v>
      </c>
      <c r="J179" s="37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51">
        <f t="shared" ca="1" si="2"/>
        <v>44974</v>
      </c>
      <c r="D180" s="35" t="s">
        <v>167</v>
      </c>
      <c r="E180" s="18" t="s">
        <v>207</v>
      </c>
      <c r="F180" s="18">
        <v>28</v>
      </c>
      <c r="G180" s="28">
        <v>150</v>
      </c>
      <c r="H18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180" s="36">
        <v>400</v>
      </c>
      <c r="J180" s="37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51">
        <f t="shared" ca="1" si="2"/>
        <v>44974</v>
      </c>
      <c r="D181" s="35" t="s">
        <v>205</v>
      </c>
      <c r="E181" s="18" t="s">
        <v>208</v>
      </c>
      <c r="F181" s="18">
        <v>5</v>
      </c>
      <c r="G181" s="28">
        <v>400</v>
      </c>
      <c r="H18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81" s="36">
        <v>900</v>
      </c>
      <c r="J181" s="37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51">
        <f t="shared" ca="1" si="2"/>
        <v>44974</v>
      </c>
      <c r="D182" s="35" t="s">
        <v>205</v>
      </c>
      <c r="E182" s="18" t="s">
        <v>209</v>
      </c>
      <c r="F182" s="18">
        <v>6</v>
      </c>
      <c r="G182" s="28">
        <v>400</v>
      </c>
      <c r="H18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182" s="36">
        <v>800</v>
      </c>
      <c r="J182" s="37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51">
        <f t="shared" ca="1" si="2"/>
        <v>44974</v>
      </c>
      <c r="D183" s="35" t="s">
        <v>205</v>
      </c>
      <c r="E183" s="18" t="s">
        <v>210</v>
      </c>
      <c r="F183" s="18">
        <v>6</v>
      </c>
      <c r="G183" s="28">
        <v>2000</v>
      </c>
      <c r="H18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183" s="36">
        <v>4800</v>
      </c>
      <c r="J183" s="37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51">
        <f t="shared" ca="1" si="2"/>
        <v>44974</v>
      </c>
      <c r="D184" s="35" t="s">
        <v>205</v>
      </c>
      <c r="E184" s="18" t="s">
        <v>464</v>
      </c>
      <c r="F184" s="18">
        <v>10</v>
      </c>
      <c r="G184" s="28">
        <v>1900</v>
      </c>
      <c r="H18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84" s="36">
        <v>4200</v>
      </c>
      <c r="J184" s="37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51">
        <f t="shared" ca="1" si="2"/>
        <v>44974</v>
      </c>
      <c r="D185" s="35" t="s">
        <v>214</v>
      </c>
      <c r="E185" s="18" t="s">
        <v>212</v>
      </c>
      <c r="F185" s="18">
        <v>7</v>
      </c>
      <c r="G185" s="28">
        <v>600</v>
      </c>
      <c r="H18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85" s="36">
        <v>1000</v>
      </c>
      <c r="J185" s="37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51">
        <f t="shared" ca="1" si="2"/>
        <v>44974</v>
      </c>
      <c r="D186" s="35" t="s">
        <v>214</v>
      </c>
      <c r="E186" s="18" t="s">
        <v>213</v>
      </c>
      <c r="F186" s="18">
        <v>1</v>
      </c>
      <c r="G186" s="28">
        <v>600</v>
      </c>
      <c r="H18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86" s="36">
        <v>1800</v>
      </c>
      <c r="J186" s="37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51">
        <f t="shared" ca="1" si="2"/>
        <v>44974</v>
      </c>
      <c r="D187" s="35" t="s">
        <v>214</v>
      </c>
      <c r="E187" s="18" t="s">
        <v>215</v>
      </c>
      <c r="F187" s="18">
        <v>8</v>
      </c>
      <c r="G187" s="28">
        <v>800</v>
      </c>
      <c r="H18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87" s="36">
        <v>1800</v>
      </c>
      <c r="J187" s="37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51">
        <f t="shared" ca="1" si="2"/>
        <v>44974</v>
      </c>
      <c r="D188" s="35" t="s">
        <v>214</v>
      </c>
      <c r="E188" s="18" t="s">
        <v>216</v>
      </c>
      <c r="F188" s="18">
        <v>1</v>
      </c>
      <c r="G188" s="28">
        <v>400</v>
      </c>
      <c r="H18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88" s="36">
        <v>900</v>
      </c>
      <c r="J188" s="37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51">
        <f t="shared" ca="1" si="2"/>
        <v>44974</v>
      </c>
      <c r="D189" s="35" t="s">
        <v>214</v>
      </c>
      <c r="E189" s="18" t="s">
        <v>217</v>
      </c>
      <c r="F189" s="18">
        <v>20</v>
      </c>
      <c r="G189" s="28">
        <v>100</v>
      </c>
      <c r="H18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189" s="36">
        <v>200</v>
      </c>
      <c r="J189" s="37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51">
        <f t="shared" ca="1" si="2"/>
        <v>44974</v>
      </c>
      <c r="D190" s="35" t="s">
        <v>214</v>
      </c>
      <c r="E190" s="18" t="s">
        <v>218</v>
      </c>
      <c r="F190" s="18">
        <v>9</v>
      </c>
      <c r="G190" s="28">
        <v>200</v>
      </c>
      <c r="H19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190" s="36">
        <v>100</v>
      </c>
      <c r="J190" s="37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51">
        <f t="shared" ca="1" si="2"/>
        <v>44974</v>
      </c>
      <c r="D191" s="35" t="s">
        <v>214</v>
      </c>
      <c r="E191" s="18" t="s">
        <v>219</v>
      </c>
      <c r="F191" s="18">
        <v>11</v>
      </c>
      <c r="G191" s="28">
        <v>100</v>
      </c>
      <c r="H19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191" s="36">
        <v>180</v>
      </c>
      <c r="J191" s="37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51">
        <f t="shared" ca="1" si="2"/>
        <v>44974</v>
      </c>
      <c r="D192" s="35" t="s">
        <v>214</v>
      </c>
      <c r="E192" s="18" t="s">
        <v>220</v>
      </c>
      <c r="F192" s="18">
        <v>45</v>
      </c>
      <c r="G192" s="28">
        <v>50</v>
      </c>
      <c r="H19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45</v>
      </c>
      <c r="I192" s="36">
        <v>150</v>
      </c>
      <c r="J192" s="37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51">
        <f t="shared" ca="1" si="2"/>
        <v>44974</v>
      </c>
      <c r="D193" s="35" t="s">
        <v>214</v>
      </c>
      <c r="E193" s="18" t="s">
        <v>221</v>
      </c>
      <c r="F193" s="18">
        <v>2</v>
      </c>
      <c r="G193" s="28">
        <v>200</v>
      </c>
      <c r="H19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93" s="36">
        <v>550</v>
      </c>
      <c r="J193" s="37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51">
        <f t="shared" ca="1" si="2"/>
        <v>44974</v>
      </c>
      <c r="D194" s="35" t="s">
        <v>205</v>
      </c>
      <c r="E194" s="18" t="s">
        <v>222</v>
      </c>
      <c r="F194" s="18">
        <v>24</v>
      </c>
      <c r="G194" s="28">
        <v>400</v>
      </c>
      <c r="H19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94" s="36">
        <v>800</v>
      </c>
      <c r="J194" s="37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51">
        <f t="shared" ref="C195:C258" ca="1" si="3">TODAY()</f>
        <v>44974</v>
      </c>
      <c r="D195" s="35" t="s">
        <v>26</v>
      </c>
      <c r="E195" s="18" t="s">
        <v>223</v>
      </c>
      <c r="F195" s="18">
        <v>8</v>
      </c>
      <c r="G195" s="28">
        <v>400</v>
      </c>
      <c r="H19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95" s="36">
        <v>1000</v>
      </c>
      <c r="J195" s="37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51">
        <f t="shared" ca="1" si="3"/>
        <v>44974</v>
      </c>
      <c r="D196" s="35" t="s">
        <v>26</v>
      </c>
      <c r="E196" s="18" t="s">
        <v>224</v>
      </c>
      <c r="F196" s="18">
        <v>4</v>
      </c>
      <c r="G196" s="28">
        <v>600</v>
      </c>
      <c r="H19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96" s="36">
        <v>1400</v>
      </c>
      <c r="J196" s="37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51">
        <f t="shared" ca="1" si="3"/>
        <v>44974</v>
      </c>
      <c r="D197" s="35" t="s">
        <v>26</v>
      </c>
      <c r="E197" s="18" t="s">
        <v>283</v>
      </c>
      <c r="F197" s="18">
        <v>1</v>
      </c>
      <c r="G197" s="28">
        <v>600</v>
      </c>
      <c r="H19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97" s="36">
        <v>1400</v>
      </c>
      <c r="J197" s="37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51">
        <f t="shared" ca="1" si="3"/>
        <v>44974</v>
      </c>
      <c r="D198" s="35" t="s">
        <v>167</v>
      </c>
      <c r="E198" s="18" t="s">
        <v>259</v>
      </c>
      <c r="F198" s="18">
        <v>7</v>
      </c>
      <c r="G198" s="28">
        <v>100</v>
      </c>
      <c r="H19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98" s="36">
        <v>400</v>
      </c>
      <c r="J198" s="37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51">
        <f t="shared" ca="1" si="3"/>
        <v>44974</v>
      </c>
      <c r="D199" s="35" t="s">
        <v>26</v>
      </c>
      <c r="E199" s="18" t="s">
        <v>226</v>
      </c>
      <c r="F199" s="18">
        <v>18</v>
      </c>
      <c r="G199" s="28">
        <v>400</v>
      </c>
      <c r="H19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99" s="36">
        <v>1000</v>
      </c>
      <c r="J199" s="37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51">
        <f t="shared" ca="1" si="3"/>
        <v>44974</v>
      </c>
      <c r="D200" s="35" t="s">
        <v>167</v>
      </c>
      <c r="E200" s="18" t="s">
        <v>227</v>
      </c>
      <c r="F200" s="18">
        <v>4</v>
      </c>
      <c r="G200" s="28">
        <v>600</v>
      </c>
      <c r="H20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00" s="36">
        <v>1400</v>
      </c>
      <c r="J200" s="37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51">
        <f t="shared" ca="1" si="3"/>
        <v>44974</v>
      </c>
      <c r="D201" s="35" t="s">
        <v>167</v>
      </c>
      <c r="E201" s="18" t="s">
        <v>228</v>
      </c>
      <c r="F201" s="18">
        <v>10</v>
      </c>
      <c r="G201" s="28">
        <v>200</v>
      </c>
      <c r="H20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01" s="36">
        <v>600</v>
      </c>
      <c r="J201" s="37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51">
        <f t="shared" ca="1" si="3"/>
        <v>44974</v>
      </c>
      <c r="D202" s="35" t="s">
        <v>177</v>
      </c>
      <c r="E202" s="18" t="s">
        <v>229</v>
      </c>
      <c r="F202" s="18">
        <v>7</v>
      </c>
      <c r="G202" s="28">
        <v>400</v>
      </c>
      <c r="H20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02" s="36">
        <v>800</v>
      </c>
      <c r="J202" s="37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51">
        <f t="shared" ca="1" si="3"/>
        <v>44974</v>
      </c>
      <c r="D203" s="35" t="s">
        <v>26</v>
      </c>
      <c r="E203" s="18" t="s">
        <v>230</v>
      </c>
      <c r="F203" s="18">
        <v>12</v>
      </c>
      <c r="G203" s="28">
        <v>400</v>
      </c>
      <c r="H20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203" s="36">
        <v>1000</v>
      </c>
      <c r="J203" s="37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51">
        <f t="shared" ca="1" si="3"/>
        <v>44974</v>
      </c>
      <c r="D204" s="35" t="s">
        <v>26</v>
      </c>
      <c r="E204" s="18" t="s">
        <v>231</v>
      </c>
      <c r="F204" s="18">
        <v>1</v>
      </c>
      <c r="G204" s="28">
        <v>600</v>
      </c>
      <c r="H20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04" s="36">
        <v>1400</v>
      </c>
      <c r="J204" s="37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51">
        <f t="shared" ca="1" si="3"/>
        <v>44974</v>
      </c>
      <c r="D205" s="35" t="s">
        <v>26</v>
      </c>
      <c r="E205" s="18" t="s">
        <v>232</v>
      </c>
      <c r="F205" s="18">
        <v>4</v>
      </c>
      <c r="G205" s="28">
        <v>200</v>
      </c>
      <c r="H20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05" s="36">
        <v>600</v>
      </c>
      <c r="J205" s="37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51">
        <f t="shared" ca="1" si="3"/>
        <v>44974</v>
      </c>
      <c r="D206" s="35" t="s">
        <v>26</v>
      </c>
      <c r="E206" s="18" t="s">
        <v>233</v>
      </c>
      <c r="F206" s="18">
        <v>5</v>
      </c>
      <c r="G206" s="28">
        <v>400</v>
      </c>
      <c r="H20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06" s="36">
        <v>1000</v>
      </c>
      <c r="J206" s="37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51">
        <f t="shared" ca="1" si="3"/>
        <v>44974</v>
      </c>
      <c r="D207" s="35" t="s">
        <v>26</v>
      </c>
      <c r="E207" s="18" t="s">
        <v>234</v>
      </c>
      <c r="F207" s="18">
        <v>3</v>
      </c>
      <c r="G207" s="28">
        <v>600</v>
      </c>
      <c r="H20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07" s="36">
        <v>1400</v>
      </c>
      <c r="J207" s="37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51">
        <f t="shared" ca="1" si="3"/>
        <v>44974</v>
      </c>
      <c r="D208" s="35" t="s">
        <v>26</v>
      </c>
      <c r="E208" s="18" t="s">
        <v>235</v>
      </c>
      <c r="F208" s="18">
        <v>1</v>
      </c>
      <c r="G208" s="28">
        <v>600</v>
      </c>
      <c r="H20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08" s="36">
        <v>1400</v>
      </c>
      <c r="J208" s="37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51">
        <f t="shared" ca="1" si="3"/>
        <v>44974</v>
      </c>
      <c r="D209" s="35" t="s">
        <v>26</v>
      </c>
      <c r="E209" s="18" t="s">
        <v>236</v>
      </c>
      <c r="F209" s="18">
        <v>3</v>
      </c>
      <c r="G209" s="28">
        <v>400</v>
      </c>
      <c r="H20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09" s="36">
        <v>1000</v>
      </c>
      <c r="J209" s="37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51">
        <f t="shared" ca="1" si="3"/>
        <v>44974</v>
      </c>
      <c r="D210" s="35" t="s">
        <v>26</v>
      </c>
      <c r="E210" s="18" t="s">
        <v>237</v>
      </c>
      <c r="F210" s="18">
        <v>2</v>
      </c>
      <c r="G210" s="28">
        <v>400</v>
      </c>
      <c r="H21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10" s="36">
        <v>1000</v>
      </c>
      <c r="J210" s="37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51">
        <f t="shared" ca="1" si="3"/>
        <v>44974</v>
      </c>
      <c r="D211" s="35" t="s">
        <v>26</v>
      </c>
      <c r="E211" s="18" t="s">
        <v>238</v>
      </c>
      <c r="F211" s="18">
        <v>11</v>
      </c>
      <c r="G211" s="28">
        <v>400</v>
      </c>
      <c r="H21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11" s="36">
        <v>1000</v>
      </c>
      <c r="J211" s="37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51">
        <f t="shared" ca="1" si="3"/>
        <v>44974</v>
      </c>
      <c r="D212" s="35" t="s">
        <v>26</v>
      </c>
      <c r="E212" s="18" t="s">
        <v>239</v>
      </c>
      <c r="F212" s="18">
        <v>3</v>
      </c>
      <c r="G212" s="28">
        <v>200</v>
      </c>
      <c r="H21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12" s="36">
        <v>600</v>
      </c>
      <c r="J212" s="37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51">
        <f t="shared" ca="1" si="3"/>
        <v>44974</v>
      </c>
      <c r="D213" s="35" t="s">
        <v>26</v>
      </c>
      <c r="E213" s="18" t="s">
        <v>240</v>
      </c>
      <c r="F213" s="18">
        <v>24</v>
      </c>
      <c r="G213" s="28">
        <v>400</v>
      </c>
      <c r="H21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13" s="36">
        <v>1000</v>
      </c>
      <c r="J213" s="37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51">
        <f t="shared" ca="1" si="3"/>
        <v>44974</v>
      </c>
      <c r="D214" s="35" t="s">
        <v>26</v>
      </c>
      <c r="E214" s="18" t="s">
        <v>241</v>
      </c>
      <c r="F214" s="18">
        <v>4</v>
      </c>
      <c r="G214" s="28">
        <v>200</v>
      </c>
      <c r="H21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14" s="36">
        <v>600</v>
      </c>
      <c r="J214" s="37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51">
        <f t="shared" ca="1" si="3"/>
        <v>44974</v>
      </c>
      <c r="D215" s="35" t="s">
        <v>26</v>
      </c>
      <c r="E215" s="18" t="s">
        <v>242</v>
      </c>
      <c r="F215" s="18">
        <v>3</v>
      </c>
      <c r="G215" s="28">
        <v>200</v>
      </c>
      <c r="H21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15" s="36">
        <v>600</v>
      </c>
      <c r="J215" s="37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51">
        <f t="shared" ca="1" si="3"/>
        <v>44974</v>
      </c>
      <c r="D216" s="35" t="s">
        <v>26</v>
      </c>
      <c r="E216" s="18" t="s">
        <v>243</v>
      </c>
      <c r="F216" s="18">
        <v>19</v>
      </c>
      <c r="G216" s="28">
        <v>400</v>
      </c>
      <c r="H21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216" s="36">
        <v>1000</v>
      </c>
      <c r="J216" s="37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51">
        <f t="shared" ca="1" si="3"/>
        <v>44974</v>
      </c>
      <c r="D217" s="35" t="s">
        <v>26</v>
      </c>
      <c r="E217" s="18" t="s">
        <v>244</v>
      </c>
      <c r="F217" s="18">
        <v>11</v>
      </c>
      <c r="G217" s="28">
        <v>400</v>
      </c>
      <c r="H21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17" s="36">
        <v>1000</v>
      </c>
      <c r="J217" s="37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51">
        <f t="shared" ca="1" si="3"/>
        <v>44974</v>
      </c>
      <c r="D218" s="35" t="s">
        <v>26</v>
      </c>
      <c r="E218" s="18" t="s">
        <v>245</v>
      </c>
      <c r="F218" s="18">
        <v>4</v>
      </c>
      <c r="G218" s="28">
        <v>200</v>
      </c>
      <c r="H21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18" s="36">
        <v>600</v>
      </c>
      <c r="J218" s="37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51">
        <f t="shared" ca="1" si="3"/>
        <v>44974</v>
      </c>
      <c r="D219" s="35" t="s">
        <v>26</v>
      </c>
      <c r="E219" s="18" t="s">
        <v>246</v>
      </c>
      <c r="F219" s="18">
        <v>12</v>
      </c>
      <c r="G219" s="28">
        <v>400</v>
      </c>
      <c r="H21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219" s="36">
        <v>1000</v>
      </c>
      <c r="J219" s="37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51">
        <f t="shared" ca="1" si="3"/>
        <v>44974</v>
      </c>
      <c r="D220" s="35" t="s">
        <v>26</v>
      </c>
      <c r="E220" s="18" t="s">
        <v>247</v>
      </c>
      <c r="F220" s="18">
        <v>26</v>
      </c>
      <c r="G220" s="28">
        <v>400</v>
      </c>
      <c r="H22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26</v>
      </c>
      <c r="I220" s="36">
        <v>1000</v>
      </c>
      <c r="J220" s="37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51">
        <f t="shared" ca="1" si="3"/>
        <v>44974</v>
      </c>
      <c r="D221" s="35" t="s">
        <v>26</v>
      </c>
      <c r="E221" s="18" t="s">
        <v>248</v>
      </c>
      <c r="F221" s="18">
        <v>14</v>
      </c>
      <c r="G221" s="28">
        <v>400</v>
      </c>
      <c r="H22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221" s="36">
        <v>1000</v>
      </c>
      <c r="J221" s="37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51">
        <f t="shared" ca="1" si="3"/>
        <v>44974</v>
      </c>
      <c r="D222" s="35" t="s">
        <v>26</v>
      </c>
      <c r="E222" s="18" t="s">
        <v>249</v>
      </c>
      <c r="F222" s="18">
        <v>5</v>
      </c>
      <c r="G222" s="28">
        <v>200</v>
      </c>
      <c r="H22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22" s="36">
        <v>600</v>
      </c>
      <c r="J222" s="37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51">
        <f t="shared" ca="1" si="3"/>
        <v>44974</v>
      </c>
      <c r="D223" s="35" t="s">
        <v>26</v>
      </c>
      <c r="E223" s="18" t="s">
        <v>251</v>
      </c>
      <c r="F223" s="18">
        <v>10</v>
      </c>
      <c r="G223" s="28">
        <v>400</v>
      </c>
      <c r="H22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23" s="36">
        <v>1000</v>
      </c>
      <c r="J223" s="37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51">
        <f t="shared" ca="1" si="3"/>
        <v>44974</v>
      </c>
      <c r="D224" s="35" t="s">
        <v>26</v>
      </c>
      <c r="E224" s="18" t="s">
        <v>252</v>
      </c>
      <c r="F224" s="18">
        <v>8</v>
      </c>
      <c r="G224" s="28">
        <v>400</v>
      </c>
      <c r="H22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24" s="36">
        <v>1000</v>
      </c>
      <c r="J224" s="37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51">
        <f t="shared" ca="1" si="3"/>
        <v>44974</v>
      </c>
      <c r="D225" s="35" t="s">
        <v>167</v>
      </c>
      <c r="E225" s="18" t="s">
        <v>253</v>
      </c>
      <c r="F225" s="18">
        <v>16</v>
      </c>
      <c r="G225" s="28">
        <v>100</v>
      </c>
      <c r="H22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225" s="36">
        <v>400</v>
      </c>
      <c r="J225" s="37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51">
        <f t="shared" ca="1" si="3"/>
        <v>44974</v>
      </c>
      <c r="D226" s="35" t="s">
        <v>167</v>
      </c>
      <c r="E226" s="18" t="s">
        <v>254</v>
      </c>
      <c r="F226" s="18">
        <v>19</v>
      </c>
      <c r="G226" s="28">
        <v>100</v>
      </c>
      <c r="H22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226" s="36">
        <v>400</v>
      </c>
      <c r="J226" s="37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51">
        <f t="shared" ca="1" si="3"/>
        <v>44974</v>
      </c>
      <c r="D227" s="35" t="s">
        <v>26</v>
      </c>
      <c r="E227" s="18" t="s">
        <v>255</v>
      </c>
      <c r="F227" s="18">
        <v>21</v>
      </c>
      <c r="G227" s="28">
        <v>400</v>
      </c>
      <c r="H22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227" s="36">
        <v>1000</v>
      </c>
      <c r="J227" s="37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51">
        <f t="shared" ca="1" si="3"/>
        <v>44974</v>
      </c>
      <c r="D228" s="35" t="s">
        <v>26</v>
      </c>
      <c r="E228" s="18" t="s">
        <v>256</v>
      </c>
      <c r="F228" s="18">
        <v>3</v>
      </c>
      <c r="G228" s="28">
        <v>600</v>
      </c>
      <c r="H22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28" s="36">
        <v>1400</v>
      </c>
      <c r="J228" s="37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51">
        <f t="shared" ca="1" si="3"/>
        <v>44974</v>
      </c>
      <c r="D229" s="35" t="s">
        <v>26</v>
      </c>
      <c r="E229" s="18" t="s">
        <v>257</v>
      </c>
      <c r="F229" s="18">
        <v>12</v>
      </c>
      <c r="G229" s="28">
        <v>400</v>
      </c>
      <c r="H22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229" s="36">
        <v>1000</v>
      </c>
      <c r="J229" s="37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51">
        <f t="shared" ca="1" si="3"/>
        <v>44974</v>
      </c>
      <c r="D230" s="35" t="s">
        <v>26</v>
      </c>
      <c r="E230" s="18" t="s">
        <v>150</v>
      </c>
      <c r="F230" s="18">
        <v>12</v>
      </c>
      <c r="G230" s="28">
        <v>400</v>
      </c>
      <c r="H23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30" s="36">
        <v>100</v>
      </c>
      <c r="J230" s="37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51">
        <f t="shared" ca="1" si="3"/>
        <v>44974</v>
      </c>
      <c r="D231" s="35" t="s">
        <v>26</v>
      </c>
      <c r="E231" s="18" t="s">
        <v>258</v>
      </c>
      <c r="F231" s="18">
        <v>4</v>
      </c>
      <c r="G231" s="28">
        <v>400</v>
      </c>
      <c r="H23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31" s="36">
        <v>1000</v>
      </c>
      <c r="J231" s="37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51">
        <f t="shared" ca="1" si="3"/>
        <v>44974</v>
      </c>
      <c r="D232" s="35" t="s">
        <v>167</v>
      </c>
      <c r="E232" s="18" t="s">
        <v>260</v>
      </c>
      <c r="F232" s="18">
        <v>49</v>
      </c>
      <c r="G232" s="28">
        <v>100</v>
      </c>
      <c r="H23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49</v>
      </c>
      <c r="I232" s="36">
        <v>400</v>
      </c>
      <c r="J232" s="37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51">
        <f t="shared" ca="1" si="3"/>
        <v>44974</v>
      </c>
      <c r="D233" s="35" t="s">
        <v>26</v>
      </c>
      <c r="E233" s="18" t="s">
        <v>261</v>
      </c>
      <c r="F233" s="18">
        <v>14</v>
      </c>
      <c r="G233" s="28">
        <v>400</v>
      </c>
      <c r="H23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233" s="36">
        <v>1000</v>
      </c>
      <c r="J233" s="37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51">
        <f t="shared" ca="1" si="3"/>
        <v>44974</v>
      </c>
      <c r="D234" s="35" t="s">
        <v>26</v>
      </c>
      <c r="E234" s="18" t="s">
        <v>262</v>
      </c>
      <c r="F234" s="18">
        <v>4</v>
      </c>
      <c r="G234" s="28">
        <v>600</v>
      </c>
      <c r="H23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34" s="36">
        <v>1400</v>
      </c>
      <c r="J234" s="37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51">
        <f t="shared" ca="1" si="3"/>
        <v>44974</v>
      </c>
      <c r="D235" s="35" t="s">
        <v>26</v>
      </c>
      <c r="E235" s="18" t="s">
        <v>263</v>
      </c>
      <c r="F235" s="18">
        <v>19</v>
      </c>
      <c r="G235" s="28">
        <v>400</v>
      </c>
      <c r="H23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235" s="36">
        <v>1000</v>
      </c>
      <c r="J235" s="37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51">
        <f t="shared" ca="1" si="3"/>
        <v>44974</v>
      </c>
      <c r="D236" s="35" t="s">
        <v>26</v>
      </c>
      <c r="E236" s="18" t="s">
        <v>264</v>
      </c>
      <c r="F236" s="18">
        <v>9</v>
      </c>
      <c r="G236" s="28">
        <v>400</v>
      </c>
      <c r="H23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36" s="36">
        <v>1000</v>
      </c>
      <c r="J236" s="37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51">
        <f t="shared" ca="1" si="3"/>
        <v>44974</v>
      </c>
      <c r="D237" s="35" t="s">
        <v>26</v>
      </c>
      <c r="E237" s="18" t="s">
        <v>265</v>
      </c>
      <c r="F237" s="18">
        <v>10</v>
      </c>
      <c r="G237" s="28">
        <v>400</v>
      </c>
      <c r="H23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37" s="36">
        <v>1000</v>
      </c>
      <c r="J237" s="37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51">
        <f t="shared" ca="1" si="3"/>
        <v>44974</v>
      </c>
      <c r="D238" s="35" t="s">
        <v>26</v>
      </c>
      <c r="E238" s="18" t="s">
        <v>161</v>
      </c>
      <c r="F238" s="18">
        <v>5</v>
      </c>
      <c r="G238" s="28">
        <v>400</v>
      </c>
      <c r="H23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38" s="36">
        <v>1000</v>
      </c>
      <c r="J238" s="37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51">
        <f t="shared" ca="1" si="3"/>
        <v>44974</v>
      </c>
      <c r="D239" s="35" t="s">
        <v>26</v>
      </c>
      <c r="E239" s="18" t="s">
        <v>162</v>
      </c>
      <c r="F239" s="18">
        <v>2</v>
      </c>
      <c r="G239" s="28">
        <v>400</v>
      </c>
      <c r="H23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39" s="36">
        <v>1000</v>
      </c>
      <c r="J239" s="37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51">
        <f t="shared" ca="1" si="3"/>
        <v>44974</v>
      </c>
      <c r="D240" s="35" t="s">
        <v>26</v>
      </c>
      <c r="E240" s="18" t="s">
        <v>160</v>
      </c>
      <c r="F240" s="18">
        <v>8</v>
      </c>
      <c r="G240" s="28">
        <v>400</v>
      </c>
      <c r="H24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0" s="36">
        <v>1000</v>
      </c>
      <c r="J240" s="37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51">
        <f t="shared" ca="1" si="3"/>
        <v>44974</v>
      </c>
      <c r="D241" s="35" t="s">
        <v>26</v>
      </c>
      <c r="E241" s="18" t="s">
        <v>266</v>
      </c>
      <c r="F241" s="18">
        <v>19</v>
      </c>
      <c r="G241" s="28">
        <v>400</v>
      </c>
      <c r="H24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241" s="36">
        <v>1000</v>
      </c>
      <c r="J241" s="37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51">
        <f t="shared" ca="1" si="3"/>
        <v>44974</v>
      </c>
      <c r="D242" s="35" t="s">
        <v>167</v>
      </c>
      <c r="E242" s="18" t="s">
        <v>267</v>
      </c>
      <c r="F242" s="18">
        <v>32</v>
      </c>
      <c r="G242" s="28">
        <v>100</v>
      </c>
      <c r="H24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32</v>
      </c>
      <c r="I242" s="36">
        <v>400</v>
      </c>
      <c r="J242" s="37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51">
        <f t="shared" ca="1" si="3"/>
        <v>44974</v>
      </c>
      <c r="D243" s="35" t="s">
        <v>183</v>
      </c>
      <c r="E243" s="18" t="s">
        <v>461</v>
      </c>
      <c r="F243" s="18">
        <v>5</v>
      </c>
      <c r="G243" s="28">
        <v>400</v>
      </c>
      <c r="H24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43" s="36">
        <v>900</v>
      </c>
      <c r="J243" s="37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51">
        <f t="shared" ca="1" si="3"/>
        <v>44974</v>
      </c>
      <c r="D244" s="35" t="s">
        <v>167</v>
      </c>
      <c r="E244" s="18" t="s">
        <v>269</v>
      </c>
      <c r="F244" s="18">
        <v>60</v>
      </c>
      <c r="G244" s="28">
        <v>100</v>
      </c>
      <c r="H24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60</v>
      </c>
      <c r="I244" s="36">
        <v>400</v>
      </c>
      <c r="J244" s="37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51">
        <f t="shared" ca="1" si="3"/>
        <v>44974</v>
      </c>
      <c r="D245" s="35" t="s">
        <v>167</v>
      </c>
      <c r="E245" s="18" t="s">
        <v>270</v>
      </c>
      <c r="F245" s="18">
        <v>25</v>
      </c>
      <c r="G245" s="28">
        <v>100</v>
      </c>
      <c r="H24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245" s="36">
        <v>400</v>
      </c>
      <c r="J245" s="37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51">
        <f t="shared" ca="1" si="3"/>
        <v>44974</v>
      </c>
      <c r="D246" s="35" t="s">
        <v>167</v>
      </c>
      <c r="E246" s="18" t="s">
        <v>271</v>
      </c>
      <c r="F246" s="18">
        <v>64</v>
      </c>
      <c r="G246" s="28">
        <v>100</v>
      </c>
      <c r="H24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64</v>
      </c>
      <c r="I246" s="36">
        <v>400</v>
      </c>
      <c r="J246" s="37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51">
        <f t="shared" ca="1" si="3"/>
        <v>44974</v>
      </c>
      <c r="D247" s="35" t="s">
        <v>167</v>
      </c>
      <c r="E247" s="18" t="s">
        <v>272</v>
      </c>
      <c r="F247" s="18">
        <v>53</v>
      </c>
      <c r="G247" s="28">
        <v>100</v>
      </c>
      <c r="H24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53</v>
      </c>
      <c r="I247" s="36">
        <v>400</v>
      </c>
      <c r="J247" s="37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51">
        <f t="shared" ca="1" si="3"/>
        <v>44974</v>
      </c>
      <c r="D248" s="35" t="s">
        <v>167</v>
      </c>
      <c r="E248" s="18" t="s">
        <v>273</v>
      </c>
      <c r="F248" s="18">
        <v>38</v>
      </c>
      <c r="G248" s="28">
        <v>100</v>
      </c>
      <c r="H24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38</v>
      </c>
      <c r="I248" s="36">
        <v>400</v>
      </c>
      <c r="J248" s="37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51">
        <f t="shared" ca="1" si="3"/>
        <v>44974</v>
      </c>
      <c r="D249" s="35" t="s">
        <v>26</v>
      </c>
      <c r="E249" s="18" t="s">
        <v>275</v>
      </c>
      <c r="F249" s="18">
        <v>8</v>
      </c>
      <c r="G249" s="28">
        <v>400</v>
      </c>
      <c r="H24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9" s="36">
        <v>1000</v>
      </c>
      <c r="J249" s="37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51">
        <f t="shared" ca="1" si="3"/>
        <v>44974</v>
      </c>
      <c r="D250" s="35" t="s">
        <v>167</v>
      </c>
      <c r="E250" s="18" t="s">
        <v>276</v>
      </c>
      <c r="F250" s="18">
        <v>78</v>
      </c>
      <c r="G250" s="28">
        <v>100</v>
      </c>
      <c r="H25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78</v>
      </c>
      <c r="I250" s="36">
        <v>400</v>
      </c>
      <c r="J250" s="37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51">
        <f t="shared" ca="1" si="3"/>
        <v>44974</v>
      </c>
      <c r="D251" s="35" t="s">
        <v>167</v>
      </c>
      <c r="E251" s="18" t="s">
        <v>277</v>
      </c>
      <c r="F251" s="18">
        <v>25</v>
      </c>
      <c r="G251" s="28">
        <v>100</v>
      </c>
      <c r="H25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251" s="36">
        <v>400</v>
      </c>
      <c r="J251" s="37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51">
        <f t="shared" ca="1" si="3"/>
        <v>44974</v>
      </c>
      <c r="D252" s="35" t="s">
        <v>26</v>
      </c>
      <c r="E252" s="18" t="s">
        <v>278</v>
      </c>
      <c r="F252" s="18">
        <v>20</v>
      </c>
      <c r="G252" s="28">
        <v>400</v>
      </c>
      <c r="H25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52" s="36">
        <v>1000</v>
      </c>
      <c r="J252" s="37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51">
        <f t="shared" ca="1" si="3"/>
        <v>44974</v>
      </c>
      <c r="D253" s="35" t="s">
        <v>167</v>
      </c>
      <c r="E253" s="18" t="s">
        <v>279</v>
      </c>
      <c r="F253" s="18">
        <v>5</v>
      </c>
      <c r="G253" s="28">
        <v>200</v>
      </c>
      <c r="H25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53" s="36">
        <v>600</v>
      </c>
      <c r="J253" s="37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51">
        <f t="shared" ca="1" si="3"/>
        <v>44974</v>
      </c>
      <c r="D254" s="35" t="s">
        <v>26</v>
      </c>
      <c r="E254" s="18" t="s">
        <v>280</v>
      </c>
      <c r="F254" s="18">
        <v>34</v>
      </c>
      <c r="G254" s="28">
        <v>400</v>
      </c>
      <c r="H25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34</v>
      </c>
      <c r="I254" s="36">
        <v>1000</v>
      </c>
      <c r="J254" s="37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51">
        <f t="shared" ca="1" si="3"/>
        <v>44974</v>
      </c>
      <c r="D255" s="35" t="s">
        <v>26</v>
      </c>
      <c r="E255" s="18" t="s">
        <v>281</v>
      </c>
      <c r="F255" s="18">
        <v>3</v>
      </c>
      <c r="G255" s="28">
        <v>600</v>
      </c>
      <c r="H25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55" s="36">
        <v>1400</v>
      </c>
      <c r="J255" s="37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51">
        <f t="shared" ca="1" si="3"/>
        <v>44974</v>
      </c>
      <c r="D256" s="35" t="s">
        <v>26</v>
      </c>
      <c r="E256" s="18" t="s">
        <v>282</v>
      </c>
      <c r="F256" s="18">
        <v>3</v>
      </c>
      <c r="G256" s="28">
        <v>600</v>
      </c>
      <c r="H25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56" s="36">
        <v>1400</v>
      </c>
      <c r="J256" s="37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51">
        <f t="shared" ca="1" si="3"/>
        <v>44974</v>
      </c>
      <c r="D257" s="35" t="s">
        <v>167</v>
      </c>
      <c r="E257" s="18" t="s">
        <v>284</v>
      </c>
      <c r="F257" s="18">
        <v>75</v>
      </c>
      <c r="G257" s="28">
        <v>100</v>
      </c>
      <c r="H25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75</v>
      </c>
      <c r="I257" s="36">
        <v>400</v>
      </c>
      <c r="J257" s="37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51">
        <f t="shared" ca="1" si="3"/>
        <v>44974</v>
      </c>
      <c r="D258" s="35" t="s">
        <v>26</v>
      </c>
      <c r="E258" s="18" t="s">
        <v>285</v>
      </c>
      <c r="F258" s="18">
        <v>30</v>
      </c>
      <c r="G258" s="28">
        <v>400</v>
      </c>
      <c r="H25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258" s="36">
        <v>1000</v>
      </c>
      <c r="J258" s="37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51">
        <f t="shared" ref="C259:C322" ca="1" si="4">TODAY()</f>
        <v>44974</v>
      </c>
      <c r="D259" s="35" t="s">
        <v>26</v>
      </c>
      <c r="E259" s="18" t="s">
        <v>286</v>
      </c>
      <c r="F259" s="18">
        <v>3</v>
      </c>
      <c r="G259" s="28">
        <v>600</v>
      </c>
      <c r="H25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59" s="36">
        <v>1400</v>
      </c>
      <c r="J259" s="37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51">
        <f t="shared" ca="1" si="4"/>
        <v>44974</v>
      </c>
      <c r="D260" s="35" t="s">
        <v>26</v>
      </c>
      <c r="E260" s="18" t="s">
        <v>287</v>
      </c>
      <c r="F260" s="18">
        <v>3</v>
      </c>
      <c r="G260" s="28">
        <v>600</v>
      </c>
      <c r="H26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0" s="36">
        <v>1400</v>
      </c>
      <c r="J260" s="37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51">
        <f t="shared" ca="1" si="4"/>
        <v>44974</v>
      </c>
      <c r="D261" s="35" t="s">
        <v>26</v>
      </c>
      <c r="E261" s="18" t="s">
        <v>288</v>
      </c>
      <c r="F261" s="18">
        <v>22</v>
      </c>
      <c r="G261" s="28">
        <v>400</v>
      </c>
      <c r="H26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61" s="36">
        <v>1000</v>
      </c>
      <c r="J261" s="37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51">
        <f t="shared" ca="1" si="4"/>
        <v>44974</v>
      </c>
      <c r="D262" s="35" t="s">
        <v>26</v>
      </c>
      <c r="E262" s="18" t="s">
        <v>289</v>
      </c>
      <c r="F262" s="18">
        <v>3</v>
      </c>
      <c r="G262" s="28">
        <v>600</v>
      </c>
      <c r="H26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2" s="36">
        <v>1400</v>
      </c>
      <c r="J262" s="37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51">
        <f t="shared" ca="1" si="4"/>
        <v>44974</v>
      </c>
      <c r="D263" s="35" t="s">
        <v>26</v>
      </c>
      <c r="E263" s="18" t="s">
        <v>290</v>
      </c>
      <c r="F263" s="18">
        <v>3</v>
      </c>
      <c r="G263" s="28">
        <v>600</v>
      </c>
      <c r="H26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3" s="36">
        <v>1400</v>
      </c>
      <c r="J263" s="37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51">
        <f t="shared" ca="1" si="4"/>
        <v>44974</v>
      </c>
      <c r="D264" s="35" t="s">
        <v>26</v>
      </c>
      <c r="E264" s="18" t="s">
        <v>293</v>
      </c>
      <c r="F264" s="18">
        <v>3</v>
      </c>
      <c r="G264" s="28">
        <v>600</v>
      </c>
      <c r="H26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4" s="36">
        <v>1400</v>
      </c>
      <c r="J264" s="37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51">
        <f t="shared" ca="1" si="4"/>
        <v>44974</v>
      </c>
      <c r="D265" s="35" t="s">
        <v>26</v>
      </c>
      <c r="E265" s="18" t="s">
        <v>294</v>
      </c>
      <c r="F265" s="18">
        <v>28</v>
      </c>
      <c r="G265" s="28">
        <v>400</v>
      </c>
      <c r="H26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265" s="36">
        <v>1000</v>
      </c>
      <c r="J265" s="37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51">
        <f t="shared" ca="1" si="4"/>
        <v>44974</v>
      </c>
      <c r="D266" s="35" t="s">
        <v>26</v>
      </c>
      <c r="E266" s="18" t="s">
        <v>295</v>
      </c>
      <c r="F266" s="18">
        <v>3</v>
      </c>
      <c r="G266" s="28">
        <v>600</v>
      </c>
      <c r="H26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6" s="36">
        <v>1400</v>
      </c>
      <c r="J266" s="37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51">
        <f t="shared" ca="1" si="4"/>
        <v>44974</v>
      </c>
      <c r="D267" s="35" t="s">
        <v>26</v>
      </c>
      <c r="E267" s="18" t="s">
        <v>296</v>
      </c>
      <c r="F267" s="18">
        <v>3</v>
      </c>
      <c r="G267" s="28">
        <v>600</v>
      </c>
      <c r="H26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7" s="36">
        <v>1400</v>
      </c>
      <c r="J267" s="37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51">
        <f t="shared" ca="1" si="4"/>
        <v>44974</v>
      </c>
      <c r="D268" s="35" t="s">
        <v>26</v>
      </c>
      <c r="E268" s="18" t="s">
        <v>297</v>
      </c>
      <c r="F268" s="18">
        <v>21</v>
      </c>
      <c r="G268" s="28">
        <v>400</v>
      </c>
      <c r="H26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268" s="36">
        <v>1000</v>
      </c>
      <c r="J268" s="37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51">
        <f t="shared" ca="1" si="4"/>
        <v>44974</v>
      </c>
      <c r="D269" s="35" t="s">
        <v>26</v>
      </c>
      <c r="E269" s="18" t="s">
        <v>298</v>
      </c>
      <c r="F269" s="18">
        <v>3</v>
      </c>
      <c r="G269" s="28">
        <v>600</v>
      </c>
      <c r="H26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9" s="36">
        <v>1400</v>
      </c>
      <c r="J269" s="37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51">
        <f t="shared" ca="1" si="4"/>
        <v>44974</v>
      </c>
      <c r="D270" s="35" t="s">
        <v>26</v>
      </c>
      <c r="E270" s="18" t="s">
        <v>299</v>
      </c>
      <c r="F270" s="18">
        <v>21</v>
      </c>
      <c r="G270" s="28">
        <v>400</v>
      </c>
      <c r="H27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270" s="36">
        <v>1000</v>
      </c>
      <c r="J270" s="37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51">
        <f t="shared" ca="1" si="4"/>
        <v>44974</v>
      </c>
      <c r="D271" s="35" t="s">
        <v>26</v>
      </c>
      <c r="E271" s="18" t="s">
        <v>300</v>
      </c>
      <c r="F271" s="18">
        <v>2</v>
      </c>
      <c r="G271" s="28">
        <v>600</v>
      </c>
      <c r="H27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71" s="36">
        <v>1400</v>
      </c>
      <c r="J271" s="37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51">
        <f t="shared" ca="1" si="4"/>
        <v>44974</v>
      </c>
      <c r="D272" s="35" t="s">
        <v>26</v>
      </c>
      <c r="E272" s="18" t="s">
        <v>301</v>
      </c>
      <c r="F272" s="18">
        <v>3</v>
      </c>
      <c r="G272" s="28">
        <v>600</v>
      </c>
      <c r="H27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72" s="36">
        <v>1400</v>
      </c>
      <c r="J272" s="37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51">
        <f t="shared" ca="1" si="4"/>
        <v>44974</v>
      </c>
      <c r="D273" s="35" t="s">
        <v>26</v>
      </c>
      <c r="E273" s="18" t="s">
        <v>302</v>
      </c>
      <c r="F273" s="18">
        <v>3</v>
      </c>
      <c r="G273" s="28">
        <v>600</v>
      </c>
      <c r="H27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73" s="36">
        <v>1400</v>
      </c>
      <c r="J273" s="37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51">
        <f t="shared" ca="1" si="4"/>
        <v>44974</v>
      </c>
      <c r="D274" s="35" t="s">
        <v>26</v>
      </c>
      <c r="E274" s="18" t="s">
        <v>303</v>
      </c>
      <c r="F274" s="18">
        <v>3</v>
      </c>
      <c r="G274" s="28">
        <v>600</v>
      </c>
      <c r="H27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74" s="36">
        <v>1400</v>
      </c>
      <c r="J274" s="37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51">
        <f t="shared" ca="1" si="4"/>
        <v>44974</v>
      </c>
      <c r="D275" s="35" t="s">
        <v>26</v>
      </c>
      <c r="E275" s="18" t="s">
        <v>304</v>
      </c>
      <c r="F275" s="18">
        <v>25</v>
      </c>
      <c r="G275" s="28">
        <v>400</v>
      </c>
      <c r="H27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275" s="36">
        <v>1000</v>
      </c>
      <c r="J275" s="37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51">
        <f t="shared" ca="1" si="4"/>
        <v>44974</v>
      </c>
      <c r="D276" s="35" t="s">
        <v>26</v>
      </c>
      <c r="E276" s="18" t="s">
        <v>305</v>
      </c>
      <c r="F276" s="18">
        <v>3</v>
      </c>
      <c r="G276" s="28">
        <v>600</v>
      </c>
      <c r="H27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76" s="36">
        <v>1400</v>
      </c>
      <c r="J276" s="37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51">
        <f t="shared" ca="1" si="4"/>
        <v>44974</v>
      </c>
      <c r="D277" s="35" t="s">
        <v>26</v>
      </c>
      <c r="E277" s="18" t="s">
        <v>306</v>
      </c>
      <c r="F277" s="18">
        <v>3</v>
      </c>
      <c r="G277" s="28">
        <v>600</v>
      </c>
      <c r="H27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77" s="36">
        <v>1400</v>
      </c>
      <c r="J277" s="37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51">
        <f t="shared" ca="1" si="4"/>
        <v>44974</v>
      </c>
      <c r="D278" s="35" t="s">
        <v>26</v>
      </c>
      <c r="E278" s="18" t="s">
        <v>307</v>
      </c>
      <c r="F278" s="18">
        <v>3</v>
      </c>
      <c r="G278" s="28">
        <v>600</v>
      </c>
      <c r="H27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78" s="36">
        <v>1400</v>
      </c>
      <c r="J278" s="37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51">
        <f t="shared" ca="1" si="4"/>
        <v>44974</v>
      </c>
      <c r="D279" s="35" t="s">
        <v>26</v>
      </c>
      <c r="E279" s="18" t="s">
        <v>308</v>
      </c>
      <c r="F279" s="18">
        <v>1</v>
      </c>
      <c r="G279" s="28">
        <v>600</v>
      </c>
      <c r="H27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79" s="36">
        <v>1400</v>
      </c>
      <c r="J279" s="37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51">
        <f t="shared" ca="1" si="4"/>
        <v>44974</v>
      </c>
      <c r="D280" s="35" t="s">
        <v>26</v>
      </c>
      <c r="E280" s="18" t="s">
        <v>309</v>
      </c>
      <c r="F280" s="18">
        <v>3</v>
      </c>
      <c r="G280" s="28">
        <v>600</v>
      </c>
      <c r="H28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80" s="36">
        <v>1400</v>
      </c>
      <c r="J280" s="37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51">
        <f t="shared" ca="1" si="4"/>
        <v>44974</v>
      </c>
      <c r="D281" s="35" t="s">
        <v>26</v>
      </c>
      <c r="E281" s="18" t="s">
        <v>310</v>
      </c>
      <c r="F281" s="18">
        <v>3</v>
      </c>
      <c r="G281" s="28">
        <v>600</v>
      </c>
      <c r="H28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81" s="36">
        <v>1400</v>
      </c>
      <c r="J281" s="37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51">
        <f t="shared" ca="1" si="4"/>
        <v>44974</v>
      </c>
      <c r="D282" s="35" t="s">
        <v>26</v>
      </c>
      <c r="E282" s="18" t="s">
        <v>311</v>
      </c>
      <c r="F282" s="18">
        <v>41</v>
      </c>
      <c r="G282" s="28">
        <v>400</v>
      </c>
      <c r="H28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41</v>
      </c>
      <c r="I282" s="36">
        <v>1000</v>
      </c>
      <c r="J282" s="37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51">
        <f t="shared" ca="1" si="4"/>
        <v>44974</v>
      </c>
      <c r="D283" s="35" t="s">
        <v>183</v>
      </c>
      <c r="E283" s="18" t="s">
        <v>312</v>
      </c>
      <c r="F283" s="18">
        <v>28</v>
      </c>
      <c r="G283" s="28">
        <v>250</v>
      </c>
      <c r="H28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283" s="36">
        <v>700</v>
      </c>
      <c r="J283" s="37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51">
        <f t="shared" ca="1" si="4"/>
        <v>44974</v>
      </c>
      <c r="D284" s="35" t="s">
        <v>26</v>
      </c>
      <c r="E284" s="18" t="s">
        <v>313</v>
      </c>
      <c r="F284" s="18">
        <v>9</v>
      </c>
      <c r="G284" s="28">
        <v>400</v>
      </c>
      <c r="H28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84" s="36">
        <v>1000</v>
      </c>
      <c r="J284" s="37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51">
        <f t="shared" ca="1" si="4"/>
        <v>44974</v>
      </c>
      <c r="D285" s="35" t="s">
        <v>26</v>
      </c>
      <c r="E285" s="18" t="s">
        <v>314</v>
      </c>
      <c r="F285" s="18">
        <v>16</v>
      </c>
      <c r="G285" s="28">
        <v>400</v>
      </c>
      <c r="H28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285" s="36">
        <v>1000</v>
      </c>
      <c r="J285" s="37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51">
        <f t="shared" ca="1" si="4"/>
        <v>44974</v>
      </c>
      <c r="D286" s="35" t="s">
        <v>26</v>
      </c>
      <c r="E286" s="18" t="s">
        <v>315</v>
      </c>
      <c r="F286" s="18">
        <v>4</v>
      </c>
      <c r="G286" s="28">
        <v>200</v>
      </c>
      <c r="H28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86" s="36">
        <v>600</v>
      </c>
      <c r="J286" s="37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51">
        <f t="shared" ca="1" si="4"/>
        <v>44974</v>
      </c>
      <c r="D287" s="35" t="s">
        <v>26</v>
      </c>
      <c r="E287" s="18" t="s">
        <v>316</v>
      </c>
      <c r="F287" s="18">
        <v>1</v>
      </c>
      <c r="G287" s="28">
        <v>600</v>
      </c>
      <c r="H28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87" s="36">
        <v>1400</v>
      </c>
      <c r="J287" s="37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51">
        <f t="shared" ca="1" si="4"/>
        <v>44974</v>
      </c>
      <c r="D288" s="35" t="s">
        <v>26</v>
      </c>
      <c r="E288" s="18" t="s">
        <v>317</v>
      </c>
      <c r="F288" s="18">
        <v>17</v>
      </c>
      <c r="G288" s="28">
        <v>400</v>
      </c>
      <c r="H28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88" s="36">
        <v>1000</v>
      </c>
      <c r="J288" s="37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51">
        <f t="shared" ca="1" si="4"/>
        <v>44974</v>
      </c>
      <c r="D289" s="35" t="s">
        <v>26</v>
      </c>
      <c r="E289" s="18" t="s">
        <v>318</v>
      </c>
      <c r="F289" s="18">
        <v>4</v>
      </c>
      <c r="G289" s="28">
        <v>600</v>
      </c>
      <c r="H28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89" s="36">
        <v>1400</v>
      </c>
      <c r="J289" s="37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51">
        <f t="shared" ca="1" si="4"/>
        <v>44974</v>
      </c>
      <c r="D290" s="35" t="s">
        <v>26</v>
      </c>
      <c r="E290" s="18" t="s">
        <v>319</v>
      </c>
      <c r="F290" s="18">
        <v>30</v>
      </c>
      <c r="G290" s="28">
        <v>400</v>
      </c>
      <c r="H29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290" s="36">
        <v>1000</v>
      </c>
      <c r="J290" s="37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51">
        <f t="shared" ca="1" si="4"/>
        <v>44974</v>
      </c>
      <c r="D291" s="35" t="s">
        <v>26</v>
      </c>
      <c r="E291" s="18" t="s">
        <v>320</v>
      </c>
      <c r="F291" s="18">
        <v>1</v>
      </c>
      <c r="G291" s="28">
        <v>600</v>
      </c>
      <c r="H29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91" s="36">
        <v>1400</v>
      </c>
      <c r="J291" s="37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51">
        <f t="shared" ca="1" si="4"/>
        <v>44974</v>
      </c>
      <c r="D292" s="35" t="s">
        <v>167</v>
      </c>
      <c r="E292" s="18" t="s">
        <v>321</v>
      </c>
      <c r="F292" s="18">
        <v>14</v>
      </c>
      <c r="G292" s="28">
        <v>100</v>
      </c>
      <c r="H29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292" s="36">
        <v>400</v>
      </c>
      <c r="J292" s="37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51">
        <f t="shared" ca="1" si="4"/>
        <v>44974</v>
      </c>
      <c r="D293" s="35" t="s">
        <v>167</v>
      </c>
      <c r="E293" s="18" t="s">
        <v>322</v>
      </c>
      <c r="F293" s="18">
        <v>13</v>
      </c>
      <c r="G293" s="28">
        <v>100</v>
      </c>
      <c r="H29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93" s="36">
        <v>400</v>
      </c>
      <c r="J293" s="37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51">
        <f t="shared" ca="1" si="4"/>
        <v>44974</v>
      </c>
      <c r="D294" s="35" t="s">
        <v>167</v>
      </c>
      <c r="E294" s="18" t="s">
        <v>323</v>
      </c>
      <c r="F294" s="18">
        <v>21</v>
      </c>
      <c r="G294" s="28">
        <v>100</v>
      </c>
      <c r="H29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294" s="36">
        <v>400</v>
      </c>
      <c r="J294" s="37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51">
        <f t="shared" ca="1" si="4"/>
        <v>44974</v>
      </c>
      <c r="D295" s="35" t="s">
        <v>167</v>
      </c>
      <c r="E295" s="18" t="s">
        <v>324</v>
      </c>
      <c r="F295" s="18">
        <v>13</v>
      </c>
      <c r="G295" s="28">
        <v>100</v>
      </c>
      <c r="H29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95" s="36">
        <v>400</v>
      </c>
      <c r="J295" s="37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51">
        <f t="shared" ca="1" si="4"/>
        <v>44974</v>
      </c>
      <c r="D296" s="35" t="s">
        <v>167</v>
      </c>
      <c r="E296" s="18" t="s">
        <v>325</v>
      </c>
      <c r="F296" s="18">
        <v>8</v>
      </c>
      <c r="G296" s="28">
        <v>100</v>
      </c>
      <c r="H29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96" s="36">
        <v>400</v>
      </c>
      <c r="J296" s="37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51">
        <f t="shared" ca="1" si="4"/>
        <v>44974</v>
      </c>
      <c r="D297" s="35" t="s">
        <v>167</v>
      </c>
      <c r="E297" s="18" t="s">
        <v>326</v>
      </c>
      <c r="F297" s="18">
        <v>41</v>
      </c>
      <c r="G297" s="28">
        <v>100</v>
      </c>
      <c r="H29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41</v>
      </c>
      <c r="I297" s="36">
        <v>400</v>
      </c>
      <c r="J297" s="37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51">
        <f t="shared" ca="1" si="4"/>
        <v>44974</v>
      </c>
      <c r="D298" s="35" t="s">
        <v>167</v>
      </c>
      <c r="E298" s="18" t="s">
        <v>327</v>
      </c>
      <c r="F298" s="18">
        <v>6</v>
      </c>
      <c r="G298" s="28">
        <v>100</v>
      </c>
      <c r="H29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98" s="36">
        <v>400</v>
      </c>
      <c r="J298" s="37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51">
        <f t="shared" ca="1" si="4"/>
        <v>44974</v>
      </c>
      <c r="D299" s="35" t="s">
        <v>167</v>
      </c>
      <c r="E299" s="18" t="s">
        <v>328</v>
      </c>
      <c r="F299" s="18">
        <v>28</v>
      </c>
      <c r="G299" s="28">
        <v>100</v>
      </c>
      <c r="H29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299" s="36">
        <v>400</v>
      </c>
      <c r="J299" s="37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51">
        <f t="shared" ca="1" si="4"/>
        <v>44974</v>
      </c>
      <c r="D300" s="35" t="s">
        <v>167</v>
      </c>
      <c r="E300" s="18" t="s">
        <v>329</v>
      </c>
      <c r="F300" s="18">
        <v>6</v>
      </c>
      <c r="G300" s="28">
        <v>100</v>
      </c>
      <c r="H30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00" s="36">
        <v>400</v>
      </c>
      <c r="J300" s="37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51">
        <f t="shared" ca="1" si="4"/>
        <v>44974</v>
      </c>
      <c r="D301" s="35" t="s">
        <v>167</v>
      </c>
      <c r="E301" s="18" t="s">
        <v>330</v>
      </c>
      <c r="F301" s="18">
        <v>18</v>
      </c>
      <c r="G301" s="28">
        <v>100</v>
      </c>
      <c r="H30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01" s="36">
        <v>400</v>
      </c>
      <c r="J301" s="37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51">
        <f t="shared" ca="1" si="4"/>
        <v>44974</v>
      </c>
      <c r="D302" s="35" t="s">
        <v>167</v>
      </c>
      <c r="E302" s="18" t="s">
        <v>331</v>
      </c>
      <c r="F302" s="18">
        <v>20</v>
      </c>
      <c r="G302" s="28">
        <v>100</v>
      </c>
      <c r="H30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302" s="36">
        <v>400</v>
      </c>
      <c r="J302" s="37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51">
        <f t="shared" ca="1" si="4"/>
        <v>44974</v>
      </c>
      <c r="D303" s="35" t="s">
        <v>167</v>
      </c>
      <c r="E303" s="18" t="s">
        <v>332</v>
      </c>
      <c r="F303" s="18">
        <v>12</v>
      </c>
      <c r="G303" s="28">
        <v>100</v>
      </c>
      <c r="H30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03" s="36">
        <v>400</v>
      </c>
      <c r="J303" s="37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51">
        <f t="shared" ca="1" si="4"/>
        <v>44974</v>
      </c>
      <c r="D304" s="35" t="s">
        <v>177</v>
      </c>
      <c r="E304" s="18" t="s">
        <v>333</v>
      </c>
      <c r="F304" s="18">
        <v>20</v>
      </c>
      <c r="G304" s="28">
        <v>300</v>
      </c>
      <c r="H30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304" s="36">
        <v>800</v>
      </c>
      <c r="J304" s="37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51">
        <f t="shared" ca="1" si="4"/>
        <v>44974</v>
      </c>
      <c r="D305" s="35" t="s">
        <v>177</v>
      </c>
      <c r="E305" s="18" t="s">
        <v>334</v>
      </c>
      <c r="F305" s="18">
        <v>13</v>
      </c>
      <c r="G305" s="28">
        <v>1000</v>
      </c>
      <c r="H30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05" s="36">
        <v>2000</v>
      </c>
      <c r="J305" s="37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51">
        <f t="shared" ca="1" si="4"/>
        <v>44974</v>
      </c>
      <c r="D306" s="35" t="s">
        <v>167</v>
      </c>
      <c r="E306" s="18" t="s">
        <v>335</v>
      </c>
      <c r="F306" s="18">
        <v>29</v>
      </c>
      <c r="G306" s="28">
        <v>100</v>
      </c>
      <c r="H30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306" s="36">
        <v>400</v>
      </c>
      <c r="J306" s="37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51">
        <f t="shared" ca="1" si="4"/>
        <v>44974</v>
      </c>
      <c r="D307" s="35" t="s">
        <v>167</v>
      </c>
      <c r="E307" s="18" t="s">
        <v>336</v>
      </c>
      <c r="F307" s="18">
        <v>8</v>
      </c>
      <c r="G307" s="28">
        <v>100</v>
      </c>
      <c r="H30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07" s="36">
        <v>400</v>
      </c>
      <c r="J307" s="37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51">
        <f t="shared" ca="1" si="4"/>
        <v>44974</v>
      </c>
      <c r="D308" s="35" t="s">
        <v>167</v>
      </c>
      <c r="E308" s="18" t="s">
        <v>337</v>
      </c>
      <c r="F308" s="18">
        <v>3</v>
      </c>
      <c r="G308" s="28">
        <v>100</v>
      </c>
      <c r="H30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08" s="36">
        <v>400</v>
      </c>
      <c r="J308" s="37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51">
        <f t="shared" ca="1" si="4"/>
        <v>44974</v>
      </c>
      <c r="D309" s="35" t="s">
        <v>167</v>
      </c>
      <c r="E309" s="18" t="s">
        <v>338</v>
      </c>
      <c r="F309" s="18">
        <v>12</v>
      </c>
      <c r="G309" s="28">
        <v>100</v>
      </c>
      <c r="H30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09" s="36">
        <v>400</v>
      </c>
      <c r="J309" s="37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51">
        <f t="shared" ca="1" si="4"/>
        <v>44974</v>
      </c>
      <c r="D310" s="35" t="s">
        <v>26</v>
      </c>
      <c r="E310" s="18" t="s">
        <v>339</v>
      </c>
      <c r="F310" s="18">
        <v>4</v>
      </c>
      <c r="G310" s="28">
        <v>600</v>
      </c>
      <c r="H31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10" s="36">
        <v>1400</v>
      </c>
      <c r="J310" s="37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51">
        <f t="shared" ca="1" si="4"/>
        <v>44974</v>
      </c>
      <c r="D311" s="35" t="s">
        <v>26</v>
      </c>
      <c r="E311" s="18" t="s">
        <v>340</v>
      </c>
      <c r="F311" s="18">
        <v>4</v>
      </c>
      <c r="G311" s="28">
        <v>600</v>
      </c>
      <c r="H31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11" s="36">
        <v>1400</v>
      </c>
      <c r="J311" s="37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51">
        <f t="shared" ca="1" si="4"/>
        <v>44974</v>
      </c>
      <c r="D312" s="35" t="s">
        <v>26</v>
      </c>
      <c r="E312" s="18" t="s">
        <v>341</v>
      </c>
      <c r="F312" s="18">
        <v>4</v>
      </c>
      <c r="G312" s="28">
        <v>600</v>
      </c>
      <c r="H31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12" s="36">
        <v>1400</v>
      </c>
      <c r="J312" s="37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51">
        <f t="shared" ca="1" si="4"/>
        <v>44974</v>
      </c>
      <c r="D313" s="35" t="s">
        <v>26</v>
      </c>
      <c r="E313" s="18" t="s">
        <v>342</v>
      </c>
      <c r="F313" s="18">
        <v>4</v>
      </c>
      <c r="G313" s="28">
        <v>600</v>
      </c>
      <c r="H31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13" s="36">
        <v>1400</v>
      </c>
      <c r="J313" s="37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51">
        <f t="shared" ca="1" si="4"/>
        <v>44974</v>
      </c>
      <c r="D314" s="35" t="s">
        <v>26</v>
      </c>
      <c r="E314" s="18" t="s">
        <v>343</v>
      </c>
      <c r="F314" s="18">
        <v>4</v>
      </c>
      <c r="G314" s="28">
        <v>600</v>
      </c>
      <c r="H31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14" s="36">
        <v>1400</v>
      </c>
      <c r="J314" s="37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51">
        <f t="shared" ca="1" si="4"/>
        <v>44974</v>
      </c>
      <c r="D315" s="35" t="s">
        <v>26</v>
      </c>
      <c r="E315" s="18" t="s">
        <v>344</v>
      </c>
      <c r="F315" s="18">
        <v>4</v>
      </c>
      <c r="G315" s="28">
        <v>600</v>
      </c>
      <c r="H31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15" s="36">
        <v>1400</v>
      </c>
      <c r="J315" s="37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51">
        <f t="shared" ca="1" si="4"/>
        <v>44974</v>
      </c>
      <c r="D316" s="35" t="s">
        <v>26</v>
      </c>
      <c r="E316" s="18" t="s">
        <v>345</v>
      </c>
      <c r="F316" s="18">
        <v>7</v>
      </c>
      <c r="G316" s="28">
        <v>400</v>
      </c>
      <c r="H31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316" s="36">
        <v>1000</v>
      </c>
      <c r="J316" s="37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51">
        <f t="shared" ca="1" si="4"/>
        <v>44974</v>
      </c>
      <c r="D317" s="35" t="s">
        <v>26</v>
      </c>
      <c r="E317" s="18" t="s">
        <v>346</v>
      </c>
      <c r="F317" s="18">
        <v>3</v>
      </c>
      <c r="G317" s="28">
        <v>200</v>
      </c>
      <c r="H31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7" s="36">
        <v>600</v>
      </c>
      <c r="J317" s="37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51">
        <f t="shared" ca="1" si="4"/>
        <v>44974</v>
      </c>
      <c r="D318" s="35" t="s">
        <v>26</v>
      </c>
      <c r="E318" s="18" t="s">
        <v>347</v>
      </c>
      <c r="F318" s="18">
        <v>3</v>
      </c>
      <c r="G318" s="28">
        <v>600</v>
      </c>
      <c r="H31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8" s="36">
        <v>1400</v>
      </c>
      <c r="J318" s="37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51">
        <f t="shared" ca="1" si="4"/>
        <v>44974</v>
      </c>
      <c r="D319" s="35" t="s">
        <v>26</v>
      </c>
      <c r="E319" s="18" t="s">
        <v>348</v>
      </c>
      <c r="F319" s="18">
        <v>25</v>
      </c>
      <c r="G319" s="28">
        <v>400</v>
      </c>
      <c r="H31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319" s="36">
        <v>1000</v>
      </c>
      <c r="J319" s="37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51">
        <f t="shared" ca="1" si="4"/>
        <v>44974</v>
      </c>
      <c r="D320" s="35" t="s">
        <v>26</v>
      </c>
      <c r="E320" s="18" t="s">
        <v>349</v>
      </c>
      <c r="F320" s="18">
        <v>3</v>
      </c>
      <c r="G320" s="28">
        <v>600</v>
      </c>
      <c r="H32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0" s="36">
        <v>1400</v>
      </c>
      <c r="J320" s="37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51">
        <f t="shared" ca="1" si="4"/>
        <v>44974</v>
      </c>
      <c r="D321" s="35" t="s">
        <v>26</v>
      </c>
      <c r="E321" s="18" t="s">
        <v>278</v>
      </c>
      <c r="F321" s="18">
        <v>10</v>
      </c>
      <c r="G321" s="28">
        <v>400</v>
      </c>
      <c r="H32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21" s="36">
        <v>1000</v>
      </c>
      <c r="J321" s="37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51">
        <f t="shared" ca="1" si="4"/>
        <v>44974</v>
      </c>
      <c r="D322" s="35" t="s">
        <v>26</v>
      </c>
      <c r="E322" s="18" t="s">
        <v>350</v>
      </c>
      <c r="F322" s="18">
        <v>5</v>
      </c>
      <c r="G322" s="28">
        <v>400</v>
      </c>
      <c r="H32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22" s="36">
        <v>1000</v>
      </c>
      <c r="J322" s="37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51">
        <f t="shared" ref="C323:C386" ca="1" si="5">TODAY()</f>
        <v>44974</v>
      </c>
      <c r="D323" s="35" t="s">
        <v>26</v>
      </c>
      <c r="E323" s="18" t="s">
        <v>351</v>
      </c>
      <c r="F323" s="18">
        <v>2</v>
      </c>
      <c r="G323" s="28">
        <v>400</v>
      </c>
      <c r="H32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23" s="36">
        <v>1000</v>
      </c>
      <c r="J323" s="37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51">
        <f t="shared" ca="1" si="5"/>
        <v>44974</v>
      </c>
      <c r="D324" s="35" t="s">
        <v>26</v>
      </c>
      <c r="E324" s="18" t="s">
        <v>352</v>
      </c>
      <c r="F324" s="18">
        <v>3</v>
      </c>
      <c r="G324" s="28">
        <v>600</v>
      </c>
      <c r="H32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4" s="36">
        <v>1400</v>
      </c>
      <c r="J324" s="37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51">
        <f t="shared" ca="1" si="5"/>
        <v>44974</v>
      </c>
      <c r="D325" s="35" t="s">
        <v>26</v>
      </c>
      <c r="E325" s="18" t="s">
        <v>353</v>
      </c>
      <c r="F325" s="18">
        <v>6</v>
      </c>
      <c r="G325" s="28">
        <v>400</v>
      </c>
      <c r="H32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25" s="36">
        <v>1000</v>
      </c>
      <c r="J325" s="37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51">
        <f t="shared" ca="1" si="5"/>
        <v>44974</v>
      </c>
      <c r="D326" s="35" t="s">
        <v>26</v>
      </c>
      <c r="E326" s="18" t="s">
        <v>354</v>
      </c>
      <c r="F326" s="18">
        <v>4</v>
      </c>
      <c r="G326" s="28">
        <v>400</v>
      </c>
      <c r="H32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26" s="36">
        <v>1000</v>
      </c>
      <c r="J326" s="37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51">
        <f t="shared" ca="1" si="5"/>
        <v>44974</v>
      </c>
      <c r="D327" s="35" t="s">
        <v>26</v>
      </c>
      <c r="E327" s="18" t="s">
        <v>355</v>
      </c>
      <c r="F327" s="18">
        <v>4</v>
      </c>
      <c r="G327" s="28">
        <v>600</v>
      </c>
      <c r="H32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27" s="36">
        <v>1400</v>
      </c>
      <c r="J327" s="37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51">
        <f t="shared" ca="1" si="5"/>
        <v>44974</v>
      </c>
      <c r="D328" s="35" t="s">
        <v>26</v>
      </c>
      <c r="E328" s="18" t="s">
        <v>356</v>
      </c>
      <c r="F328" s="18">
        <v>4</v>
      </c>
      <c r="G328" s="28">
        <v>600</v>
      </c>
      <c r="H32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28" s="36">
        <v>1400</v>
      </c>
      <c r="J328" s="37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51">
        <f t="shared" ca="1" si="5"/>
        <v>44974</v>
      </c>
      <c r="D329" s="35" t="s">
        <v>167</v>
      </c>
      <c r="E329" s="18" t="s">
        <v>357</v>
      </c>
      <c r="F329" s="18">
        <v>8</v>
      </c>
      <c r="G329" s="28">
        <v>100</v>
      </c>
      <c r="H32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29" s="36">
        <v>400</v>
      </c>
      <c r="J329" s="37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51">
        <f t="shared" ca="1" si="5"/>
        <v>44974</v>
      </c>
      <c r="D330" s="35" t="s">
        <v>167</v>
      </c>
      <c r="E330" s="18" t="s">
        <v>358</v>
      </c>
      <c r="F330" s="18">
        <v>4</v>
      </c>
      <c r="G330" s="28">
        <v>100</v>
      </c>
      <c r="H33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30" s="36">
        <v>400</v>
      </c>
      <c r="J330" s="37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51">
        <f t="shared" ca="1" si="5"/>
        <v>44974</v>
      </c>
      <c r="D331" s="35" t="s">
        <v>167</v>
      </c>
      <c r="E331" s="18" t="s">
        <v>359</v>
      </c>
      <c r="F331" s="18">
        <v>2</v>
      </c>
      <c r="G331" s="28">
        <v>100</v>
      </c>
      <c r="H33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31" s="36">
        <v>400</v>
      </c>
      <c r="J331" s="37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51">
        <f t="shared" ca="1" si="5"/>
        <v>44974</v>
      </c>
      <c r="D332" s="35" t="s">
        <v>167</v>
      </c>
      <c r="E332" s="18" t="s">
        <v>360</v>
      </c>
      <c r="F332" s="18">
        <v>32</v>
      </c>
      <c r="G332" s="28">
        <v>100</v>
      </c>
      <c r="H33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32</v>
      </c>
      <c r="I332" s="36">
        <v>400</v>
      </c>
      <c r="J332" s="37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51">
        <f t="shared" ca="1" si="5"/>
        <v>44974</v>
      </c>
      <c r="D333" s="35" t="s">
        <v>167</v>
      </c>
      <c r="E333" s="18" t="s">
        <v>361</v>
      </c>
      <c r="F333" s="18">
        <v>29</v>
      </c>
      <c r="G333" s="28">
        <v>100</v>
      </c>
      <c r="H33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333" s="36">
        <v>400</v>
      </c>
      <c r="J333" s="37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51">
        <f t="shared" ca="1" si="5"/>
        <v>44974</v>
      </c>
      <c r="D334" s="35" t="s">
        <v>167</v>
      </c>
      <c r="E334" s="18" t="s">
        <v>362</v>
      </c>
      <c r="F334" s="18">
        <v>9</v>
      </c>
      <c r="G334" s="28">
        <v>100</v>
      </c>
      <c r="H33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334" s="36">
        <v>400</v>
      </c>
      <c r="J334" s="37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51">
        <f t="shared" ca="1" si="5"/>
        <v>44974</v>
      </c>
      <c r="D335" s="35" t="s">
        <v>167</v>
      </c>
      <c r="E335" s="18" t="s">
        <v>363</v>
      </c>
      <c r="F335" s="18">
        <v>8</v>
      </c>
      <c r="G335" s="28">
        <v>100</v>
      </c>
      <c r="H33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35" s="36">
        <v>400</v>
      </c>
      <c r="J335" s="37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51">
        <f t="shared" ca="1" si="5"/>
        <v>44974</v>
      </c>
      <c r="D336" s="35" t="s">
        <v>167</v>
      </c>
      <c r="E336" s="18" t="s">
        <v>364</v>
      </c>
      <c r="F336" s="18">
        <v>5</v>
      </c>
      <c r="G336" s="28">
        <v>100</v>
      </c>
      <c r="H33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36" s="36">
        <v>400</v>
      </c>
      <c r="J336" s="37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51">
        <f t="shared" ca="1" si="5"/>
        <v>44974</v>
      </c>
      <c r="D337" s="35" t="s">
        <v>167</v>
      </c>
      <c r="E337" s="18" t="s">
        <v>365</v>
      </c>
      <c r="F337" s="18">
        <v>12</v>
      </c>
      <c r="G337" s="28">
        <v>100</v>
      </c>
      <c r="H33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37" s="36">
        <v>400</v>
      </c>
      <c r="J337" s="37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51">
        <f t="shared" ca="1" si="5"/>
        <v>44974</v>
      </c>
      <c r="D338" s="35" t="s">
        <v>167</v>
      </c>
      <c r="E338" s="18" t="s">
        <v>366</v>
      </c>
      <c r="F338" s="18">
        <v>4</v>
      </c>
      <c r="G338" s="28">
        <v>100</v>
      </c>
      <c r="H33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38" s="36">
        <v>400</v>
      </c>
      <c r="J338" s="37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51">
        <f t="shared" ca="1" si="5"/>
        <v>44974</v>
      </c>
      <c r="D339" s="35" t="s">
        <v>167</v>
      </c>
      <c r="E339" s="18" t="s">
        <v>367</v>
      </c>
      <c r="F339" s="18">
        <v>18</v>
      </c>
      <c r="G339" s="28">
        <v>100</v>
      </c>
      <c r="H33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39" s="36">
        <v>400</v>
      </c>
      <c r="J339" s="37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51">
        <f t="shared" ca="1" si="5"/>
        <v>44974</v>
      </c>
      <c r="D340" s="35" t="s">
        <v>167</v>
      </c>
      <c r="E340" s="18" t="s">
        <v>368</v>
      </c>
      <c r="F340" s="18">
        <v>27</v>
      </c>
      <c r="G340" s="28">
        <v>100</v>
      </c>
      <c r="H34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340" s="36">
        <v>400</v>
      </c>
      <c r="J340" s="37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51">
        <f t="shared" ca="1" si="5"/>
        <v>44974</v>
      </c>
      <c r="D341" s="35" t="s">
        <v>167</v>
      </c>
      <c r="E341" s="18" t="s">
        <v>369</v>
      </c>
      <c r="F341" s="18">
        <v>14</v>
      </c>
      <c r="G341" s="28">
        <v>100</v>
      </c>
      <c r="H34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341" s="36">
        <v>400</v>
      </c>
      <c r="J341" s="37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51">
        <f t="shared" ca="1" si="5"/>
        <v>44974</v>
      </c>
      <c r="D342" s="35" t="s">
        <v>167</v>
      </c>
      <c r="E342" s="18" t="s">
        <v>370</v>
      </c>
      <c r="F342" s="18">
        <v>18</v>
      </c>
      <c r="G342" s="28">
        <v>100</v>
      </c>
      <c r="H34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42" s="36">
        <v>400</v>
      </c>
      <c r="J342" s="37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51">
        <f t="shared" ca="1" si="5"/>
        <v>44974</v>
      </c>
      <c r="D343" s="35" t="s">
        <v>26</v>
      </c>
      <c r="E343" s="18" t="s">
        <v>371</v>
      </c>
      <c r="F343" s="18">
        <v>5</v>
      </c>
      <c r="G343" s="28">
        <v>400</v>
      </c>
      <c r="H343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43" s="36">
        <v>1000</v>
      </c>
      <c r="J343" s="37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51">
        <f t="shared" ca="1" si="5"/>
        <v>44974</v>
      </c>
      <c r="D344" s="35" t="s">
        <v>26</v>
      </c>
      <c r="E344" s="18" t="s">
        <v>372</v>
      </c>
      <c r="F344" s="18">
        <v>10</v>
      </c>
      <c r="G344" s="28">
        <v>400</v>
      </c>
      <c r="H344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44" s="36">
        <v>1000</v>
      </c>
      <c r="J344" s="37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51">
        <f t="shared" ca="1" si="5"/>
        <v>44974</v>
      </c>
      <c r="D345" s="35" t="s">
        <v>26</v>
      </c>
      <c r="E345" s="18" t="s">
        <v>373</v>
      </c>
      <c r="F345" s="18">
        <v>5</v>
      </c>
      <c r="G345" s="28">
        <v>400</v>
      </c>
      <c r="H345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45" s="36">
        <v>1000</v>
      </c>
      <c r="J345" s="37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51">
        <f t="shared" ca="1" si="5"/>
        <v>44974</v>
      </c>
      <c r="D346" s="35" t="s">
        <v>26</v>
      </c>
      <c r="E346" s="18" t="s">
        <v>374</v>
      </c>
      <c r="F346" s="18">
        <v>10</v>
      </c>
      <c r="G346" s="28">
        <v>400</v>
      </c>
      <c r="H346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46" s="36">
        <v>1000</v>
      </c>
      <c r="J346" s="37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51">
        <f t="shared" ca="1" si="5"/>
        <v>44974</v>
      </c>
      <c r="D347" s="35" t="s">
        <v>26</v>
      </c>
      <c r="E347" s="18" t="s">
        <v>375</v>
      </c>
      <c r="F347" s="18">
        <v>5</v>
      </c>
      <c r="G347" s="28">
        <v>400</v>
      </c>
      <c r="H347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47" s="36">
        <v>1000</v>
      </c>
      <c r="J347" s="37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51">
        <f t="shared" ca="1" si="5"/>
        <v>44974</v>
      </c>
      <c r="D348" s="35" t="s">
        <v>26</v>
      </c>
      <c r="E348" s="18" t="s">
        <v>376</v>
      </c>
      <c r="F348" s="18">
        <v>10</v>
      </c>
      <c r="G348" s="28">
        <v>400</v>
      </c>
      <c r="H348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48" s="36">
        <v>1000</v>
      </c>
      <c r="J348" s="37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51">
        <f t="shared" ca="1" si="5"/>
        <v>44974</v>
      </c>
      <c r="D349" s="35" t="s">
        <v>26</v>
      </c>
      <c r="E349" s="18" t="s">
        <v>377</v>
      </c>
      <c r="F349" s="18">
        <v>18</v>
      </c>
      <c r="G349" s="28">
        <v>400</v>
      </c>
      <c r="H349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49" s="36">
        <v>1000</v>
      </c>
      <c r="J349" s="37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51">
        <f t="shared" ca="1" si="5"/>
        <v>44974</v>
      </c>
      <c r="D350" s="35" t="s">
        <v>26</v>
      </c>
      <c r="E350" s="18" t="s">
        <v>378</v>
      </c>
      <c r="F350" s="18">
        <v>1</v>
      </c>
      <c r="G350" s="28">
        <v>400</v>
      </c>
      <c r="H350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50" s="36">
        <v>1000</v>
      </c>
      <c r="J350" s="37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51">
        <f t="shared" ca="1" si="5"/>
        <v>44974</v>
      </c>
      <c r="D351" s="35" t="s">
        <v>26</v>
      </c>
      <c r="E351" s="18" t="s">
        <v>379</v>
      </c>
      <c r="F351" s="18">
        <v>16</v>
      </c>
      <c r="G351" s="28">
        <v>400</v>
      </c>
      <c r="H351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351" s="36">
        <v>1000</v>
      </c>
      <c r="J351" s="37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51">
        <f t="shared" ca="1" si="5"/>
        <v>44974</v>
      </c>
      <c r="D352" s="35" t="s">
        <v>26</v>
      </c>
      <c r="E352" s="18" t="s">
        <v>380</v>
      </c>
      <c r="F352" s="18">
        <v>10</v>
      </c>
      <c r="G352" s="28">
        <v>200</v>
      </c>
      <c r="H352" s="35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52" s="36">
        <v>600</v>
      </c>
      <c r="J352" s="37">
        <f>Tabla2[[#This Row],[CANTIDAD CARGADAS]]*Tabla2[[#This Row],[COSTOS]]</f>
        <v>2000</v>
      </c>
    </row>
    <row r="353" spans="1:10" x14ac:dyDescent="0.25">
      <c r="A353" s="38">
        <v>375</v>
      </c>
      <c r="B353" s="39">
        <v>739935613</v>
      </c>
      <c r="C353" s="51">
        <f t="shared" ca="1" si="5"/>
        <v>44974</v>
      </c>
      <c r="D353" s="39" t="s">
        <v>26</v>
      </c>
      <c r="E353" s="40" t="s">
        <v>382</v>
      </c>
      <c r="F353" s="40">
        <v>11</v>
      </c>
      <c r="G353" s="41">
        <v>400</v>
      </c>
      <c r="H353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353" s="42">
        <v>1000</v>
      </c>
      <c r="J353" s="43">
        <f>Tabla2[[#This Row],[CANTIDAD CARGADAS]]*Tabla2[[#This Row],[COSTOS]]</f>
        <v>4400</v>
      </c>
    </row>
    <row r="354" spans="1:10" x14ac:dyDescent="0.25">
      <c r="A354" s="38">
        <v>376</v>
      </c>
      <c r="B354" s="39">
        <v>426428618</v>
      </c>
      <c r="C354" s="51">
        <f t="shared" ca="1" si="5"/>
        <v>44974</v>
      </c>
      <c r="D354" s="39" t="s">
        <v>26</v>
      </c>
      <c r="E354" s="40" t="s">
        <v>383</v>
      </c>
      <c r="F354" s="40">
        <v>13</v>
      </c>
      <c r="G354" s="41">
        <v>400</v>
      </c>
      <c r="H354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54" s="42">
        <v>1000</v>
      </c>
      <c r="J354" s="43">
        <f>Tabla2[[#This Row],[CANTIDAD CARGADAS]]*Tabla2[[#This Row],[COSTOS]]</f>
        <v>5200</v>
      </c>
    </row>
    <row r="355" spans="1:10" x14ac:dyDescent="0.25">
      <c r="A355" s="38">
        <v>377</v>
      </c>
      <c r="B355" s="39">
        <v>25185546</v>
      </c>
      <c r="C355" s="51">
        <f t="shared" ca="1" si="5"/>
        <v>44974</v>
      </c>
      <c r="D355" s="39" t="s">
        <v>26</v>
      </c>
      <c r="E355" s="40" t="s">
        <v>385</v>
      </c>
      <c r="F355" s="40">
        <v>3</v>
      </c>
      <c r="G355" s="41">
        <v>200</v>
      </c>
      <c r="H355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55" s="42">
        <v>600</v>
      </c>
      <c r="J355" s="43">
        <f>Tabla2[[#This Row],[CANTIDAD CARGADAS]]*Tabla2[[#This Row],[COSTOS]]</f>
        <v>600</v>
      </c>
    </row>
    <row r="356" spans="1:10" x14ac:dyDescent="0.25">
      <c r="A356" s="38">
        <v>378</v>
      </c>
      <c r="B356" s="39">
        <v>613172639</v>
      </c>
      <c r="C356" s="51">
        <f t="shared" ca="1" si="5"/>
        <v>44974</v>
      </c>
      <c r="D356" s="39" t="s">
        <v>26</v>
      </c>
      <c r="E356" s="40" t="s">
        <v>384</v>
      </c>
      <c r="F356" s="40">
        <v>1</v>
      </c>
      <c r="G356" s="41">
        <v>600</v>
      </c>
      <c r="H356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56" s="42">
        <v>1200</v>
      </c>
      <c r="J356" s="43">
        <f>Tabla2[[#This Row],[CANTIDAD CARGADAS]]*Tabla2[[#This Row],[COSTOS]]</f>
        <v>600</v>
      </c>
    </row>
    <row r="357" spans="1:10" x14ac:dyDescent="0.25">
      <c r="A357" s="38">
        <v>379</v>
      </c>
      <c r="B357" s="39">
        <v>770790581</v>
      </c>
      <c r="C357" s="51">
        <f t="shared" ca="1" si="5"/>
        <v>44974</v>
      </c>
      <c r="D357" s="39" t="s">
        <v>26</v>
      </c>
      <c r="E357" s="40" t="s">
        <v>386</v>
      </c>
      <c r="F357" s="40">
        <v>6</v>
      </c>
      <c r="G357" s="41">
        <v>400</v>
      </c>
      <c r="H357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57" s="42">
        <v>1000</v>
      </c>
      <c r="J357" s="43">
        <f>Tabla2[[#This Row],[CANTIDAD CARGADAS]]*Tabla2[[#This Row],[COSTOS]]</f>
        <v>2400</v>
      </c>
    </row>
    <row r="358" spans="1:10" x14ac:dyDescent="0.25">
      <c r="A358" s="38">
        <v>380</v>
      </c>
      <c r="B358" s="39">
        <v>444260506</v>
      </c>
      <c r="C358" s="51">
        <f t="shared" ca="1" si="5"/>
        <v>44974</v>
      </c>
      <c r="D358" s="39" t="s">
        <v>26</v>
      </c>
      <c r="E358" s="40" t="s">
        <v>387</v>
      </c>
      <c r="F358" s="40">
        <v>9</v>
      </c>
      <c r="G358" s="41">
        <v>200</v>
      </c>
      <c r="H358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358" s="42">
        <v>600</v>
      </c>
      <c r="J358" s="43">
        <f>Tabla2[[#This Row],[CANTIDAD CARGADAS]]*Tabla2[[#This Row],[COSTOS]]</f>
        <v>1800</v>
      </c>
    </row>
    <row r="359" spans="1:10" x14ac:dyDescent="0.25">
      <c r="A359" s="38">
        <v>381</v>
      </c>
      <c r="B359" s="39">
        <v>960930383</v>
      </c>
      <c r="C359" s="51">
        <f t="shared" ca="1" si="5"/>
        <v>44974</v>
      </c>
      <c r="D359" s="39" t="s">
        <v>26</v>
      </c>
      <c r="E359" s="40" t="s">
        <v>388</v>
      </c>
      <c r="F359" s="40">
        <v>8</v>
      </c>
      <c r="G359" s="41">
        <v>600</v>
      </c>
      <c r="H359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59" s="42">
        <v>1400</v>
      </c>
      <c r="J359" s="43">
        <f>Tabla2[[#This Row],[CANTIDAD CARGADAS]]*Tabla2[[#This Row],[COSTOS]]</f>
        <v>4800</v>
      </c>
    </row>
    <row r="360" spans="1:10" x14ac:dyDescent="0.25">
      <c r="A360" s="38">
        <v>382</v>
      </c>
      <c r="B360" s="39">
        <v>115722624</v>
      </c>
      <c r="C360" s="51">
        <f t="shared" ca="1" si="5"/>
        <v>44974</v>
      </c>
      <c r="D360" s="39" t="s">
        <v>26</v>
      </c>
      <c r="E360" s="40" t="s">
        <v>370</v>
      </c>
      <c r="F360" s="40">
        <v>28</v>
      </c>
      <c r="G360" s="41">
        <v>400</v>
      </c>
      <c r="H360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60" s="42">
        <v>1000</v>
      </c>
      <c r="J360" s="43">
        <f>Tabla2[[#This Row],[CANTIDAD CARGADAS]]*Tabla2[[#This Row],[COSTOS]]</f>
        <v>11200</v>
      </c>
    </row>
    <row r="361" spans="1:10" x14ac:dyDescent="0.25">
      <c r="A361" s="38">
        <v>383</v>
      </c>
      <c r="B361" s="39">
        <v>460651878</v>
      </c>
      <c r="C361" s="51">
        <f t="shared" ca="1" si="5"/>
        <v>44974</v>
      </c>
      <c r="D361" s="39" t="s">
        <v>26</v>
      </c>
      <c r="E361" s="40" t="s">
        <v>389</v>
      </c>
      <c r="F361" s="40">
        <v>9</v>
      </c>
      <c r="G361" s="41">
        <v>400</v>
      </c>
      <c r="H361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361" s="42">
        <v>1000</v>
      </c>
      <c r="J361" s="43">
        <f>Tabla2[[#This Row],[CANTIDAD CARGADAS]]*Tabla2[[#This Row],[COSTOS]]</f>
        <v>3600</v>
      </c>
    </row>
    <row r="362" spans="1:10" x14ac:dyDescent="0.25">
      <c r="A362" s="38">
        <v>384</v>
      </c>
      <c r="B362" s="39">
        <v>925805842</v>
      </c>
      <c r="C362" s="51">
        <f t="shared" ca="1" si="5"/>
        <v>44974</v>
      </c>
      <c r="D362" s="39" t="s">
        <v>26</v>
      </c>
      <c r="E362" s="40" t="s">
        <v>390</v>
      </c>
      <c r="F362" s="40">
        <v>7</v>
      </c>
      <c r="G362" s="41">
        <v>200</v>
      </c>
      <c r="H362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362" s="42">
        <v>600</v>
      </c>
      <c r="J362" s="43">
        <f>Tabla2[[#This Row],[CANTIDAD CARGADAS]]*Tabla2[[#This Row],[COSTOS]]</f>
        <v>1400</v>
      </c>
    </row>
    <row r="363" spans="1:10" x14ac:dyDescent="0.25">
      <c r="A363" s="38">
        <v>385</v>
      </c>
      <c r="B363" s="39">
        <v>911951330</v>
      </c>
      <c r="C363" s="51">
        <f t="shared" ca="1" si="5"/>
        <v>44974</v>
      </c>
      <c r="D363" s="39" t="s">
        <v>26</v>
      </c>
      <c r="E363" s="40" t="s">
        <v>391</v>
      </c>
      <c r="F363" s="40">
        <v>4</v>
      </c>
      <c r="G363" s="41">
        <v>600</v>
      </c>
      <c r="H363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3" s="42">
        <v>1400</v>
      </c>
      <c r="J363" s="43">
        <f>Tabla2[[#This Row],[CANTIDAD CARGADAS]]*Tabla2[[#This Row],[COSTOS]]</f>
        <v>2400</v>
      </c>
    </row>
    <row r="364" spans="1:10" x14ac:dyDescent="0.25">
      <c r="A364" s="38">
        <v>386</v>
      </c>
      <c r="B364" s="39">
        <v>314332099</v>
      </c>
      <c r="C364" s="51">
        <f t="shared" ca="1" si="5"/>
        <v>44974</v>
      </c>
      <c r="D364" s="39" t="s">
        <v>26</v>
      </c>
      <c r="E364" s="40" t="s">
        <v>392</v>
      </c>
      <c r="F364" s="40">
        <v>26</v>
      </c>
      <c r="G364" s="41">
        <v>400</v>
      </c>
      <c r="H364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26</v>
      </c>
      <c r="I364" s="42">
        <v>1000</v>
      </c>
      <c r="J364" s="43">
        <f>Tabla2[[#This Row],[CANTIDAD CARGADAS]]*Tabla2[[#This Row],[COSTOS]]</f>
        <v>10400</v>
      </c>
    </row>
    <row r="365" spans="1:10" x14ac:dyDescent="0.25">
      <c r="A365" s="38">
        <v>387</v>
      </c>
      <c r="B365" s="39">
        <v>628020731</v>
      </c>
      <c r="C365" s="51">
        <f t="shared" ca="1" si="5"/>
        <v>44974</v>
      </c>
      <c r="D365" s="39" t="s">
        <v>26</v>
      </c>
      <c r="E365" s="40" t="s">
        <v>393</v>
      </c>
      <c r="F365" s="40">
        <v>11</v>
      </c>
      <c r="G365" s="41">
        <v>400</v>
      </c>
      <c r="H365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365" s="42">
        <v>1000</v>
      </c>
      <c r="J365" s="43">
        <f>Tabla2[[#This Row],[CANTIDAD CARGADAS]]*Tabla2[[#This Row],[COSTOS]]</f>
        <v>4400</v>
      </c>
    </row>
    <row r="366" spans="1:10" x14ac:dyDescent="0.25">
      <c r="A366" s="38">
        <v>388</v>
      </c>
      <c r="B366" s="39">
        <v>32293694</v>
      </c>
      <c r="C366" s="51">
        <f t="shared" ca="1" si="5"/>
        <v>44974</v>
      </c>
      <c r="D366" s="39" t="s">
        <v>26</v>
      </c>
      <c r="E366" s="40" t="s">
        <v>394</v>
      </c>
      <c r="F366" s="40">
        <v>11</v>
      </c>
      <c r="G366" s="41">
        <v>200</v>
      </c>
      <c r="H366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366" s="42">
        <v>600</v>
      </c>
      <c r="J366" s="43">
        <f>Tabla2[[#This Row],[CANTIDAD CARGADAS]]*Tabla2[[#This Row],[COSTOS]]</f>
        <v>2200</v>
      </c>
    </row>
    <row r="367" spans="1:10" x14ac:dyDescent="0.25">
      <c r="A367" s="38">
        <v>389</v>
      </c>
      <c r="B367" s="39">
        <v>752983333</v>
      </c>
      <c r="C367" s="51">
        <f t="shared" ca="1" si="5"/>
        <v>44974</v>
      </c>
      <c r="D367" s="39" t="s">
        <v>26</v>
      </c>
      <c r="E367" s="40" t="s">
        <v>395</v>
      </c>
      <c r="F367" s="40">
        <v>5</v>
      </c>
      <c r="G367" s="41">
        <v>400</v>
      </c>
      <c r="H367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67" s="42">
        <v>1000</v>
      </c>
      <c r="J367" s="43">
        <f>Tabla2[[#This Row],[CANTIDAD CARGADAS]]*Tabla2[[#This Row],[COSTOS]]</f>
        <v>2000</v>
      </c>
    </row>
    <row r="368" spans="1:10" x14ac:dyDescent="0.25">
      <c r="A368" s="38">
        <v>390</v>
      </c>
      <c r="B368" s="39">
        <v>772745666</v>
      </c>
      <c r="C368" s="51">
        <f t="shared" ca="1" si="5"/>
        <v>44974</v>
      </c>
      <c r="D368" s="39" t="s">
        <v>26</v>
      </c>
      <c r="E368" s="40" t="s">
        <v>396</v>
      </c>
      <c r="F368" s="40">
        <v>10</v>
      </c>
      <c r="G368" s="41">
        <v>200</v>
      </c>
      <c r="H368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68" s="42">
        <v>600</v>
      </c>
      <c r="J368" s="43">
        <f>Tabla2[[#This Row],[CANTIDAD CARGADAS]]*Tabla2[[#This Row],[COSTOS]]</f>
        <v>2000</v>
      </c>
    </row>
    <row r="369" spans="1:10" x14ac:dyDescent="0.25">
      <c r="A369" s="38">
        <v>391</v>
      </c>
      <c r="B369" s="39">
        <v>78903659</v>
      </c>
      <c r="C369" s="51">
        <f t="shared" ca="1" si="5"/>
        <v>44974</v>
      </c>
      <c r="D369" s="39" t="s">
        <v>26</v>
      </c>
      <c r="E369" s="40" t="s">
        <v>397</v>
      </c>
      <c r="F369" s="40">
        <v>14</v>
      </c>
      <c r="G369" s="41">
        <v>400</v>
      </c>
      <c r="H369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369" s="42">
        <v>1000</v>
      </c>
      <c r="J369" s="43">
        <f>Tabla2[[#This Row],[CANTIDAD CARGADAS]]*Tabla2[[#This Row],[COSTOS]]</f>
        <v>5600</v>
      </c>
    </row>
    <row r="370" spans="1:10" x14ac:dyDescent="0.25">
      <c r="A370" s="38">
        <v>392</v>
      </c>
      <c r="B370" s="39">
        <v>571937688</v>
      </c>
      <c r="C370" s="51">
        <f t="shared" ca="1" si="5"/>
        <v>44974</v>
      </c>
      <c r="D370" s="39" t="s">
        <v>26</v>
      </c>
      <c r="E370" s="40" t="s">
        <v>398</v>
      </c>
      <c r="F370" s="40">
        <v>5</v>
      </c>
      <c r="G370" s="41">
        <v>200</v>
      </c>
      <c r="H370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70" s="42">
        <v>600</v>
      </c>
      <c r="J370" s="43">
        <f>Tabla2[[#This Row],[CANTIDAD CARGADAS]]*Tabla2[[#This Row],[COSTOS]]</f>
        <v>1000</v>
      </c>
    </row>
    <row r="371" spans="1:10" x14ac:dyDescent="0.25">
      <c r="A371" s="38">
        <v>393</v>
      </c>
      <c r="B371" s="39">
        <v>137019707</v>
      </c>
      <c r="C371" s="51">
        <f t="shared" ca="1" si="5"/>
        <v>44974</v>
      </c>
      <c r="D371" s="39" t="s">
        <v>26</v>
      </c>
      <c r="E371" s="40" t="s">
        <v>399</v>
      </c>
      <c r="F371" s="40">
        <v>7</v>
      </c>
      <c r="G371" s="41">
        <v>600</v>
      </c>
      <c r="H371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371" s="42">
        <v>1400</v>
      </c>
      <c r="J371" s="43">
        <f>Tabla2[[#This Row],[CANTIDAD CARGADAS]]*Tabla2[[#This Row],[COSTOS]]</f>
        <v>4200</v>
      </c>
    </row>
    <row r="372" spans="1:10" x14ac:dyDescent="0.25">
      <c r="A372" s="38">
        <v>394</v>
      </c>
      <c r="B372" s="39">
        <v>42030967</v>
      </c>
      <c r="C372" s="51">
        <f t="shared" ca="1" si="5"/>
        <v>44974</v>
      </c>
      <c r="D372" s="39" t="s">
        <v>26</v>
      </c>
      <c r="E372" s="40" t="s">
        <v>400</v>
      </c>
      <c r="F372" s="40">
        <v>8</v>
      </c>
      <c r="G372" s="41">
        <v>400</v>
      </c>
      <c r="H372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72" s="42">
        <v>1000</v>
      </c>
      <c r="J372" s="43">
        <f>Tabla2[[#This Row],[CANTIDAD CARGADAS]]*Tabla2[[#This Row],[COSTOS]]</f>
        <v>3200</v>
      </c>
    </row>
    <row r="373" spans="1:10" x14ac:dyDescent="0.25">
      <c r="A373" s="38">
        <v>395</v>
      </c>
      <c r="B373" s="39">
        <v>717861779</v>
      </c>
      <c r="C373" s="51">
        <f t="shared" ca="1" si="5"/>
        <v>44974</v>
      </c>
      <c r="D373" s="39" t="s">
        <v>26</v>
      </c>
      <c r="E373" s="40" t="s">
        <v>401</v>
      </c>
      <c r="F373" s="40">
        <v>5</v>
      </c>
      <c r="G373" s="41">
        <v>200</v>
      </c>
      <c r="H373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73" s="42">
        <v>600</v>
      </c>
      <c r="J373" s="43">
        <f>Tabla2[[#This Row],[CANTIDAD CARGADAS]]*Tabla2[[#This Row],[COSTOS]]</f>
        <v>1000</v>
      </c>
    </row>
    <row r="374" spans="1:10" x14ac:dyDescent="0.25">
      <c r="A374" s="38">
        <v>396</v>
      </c>
      <c r="B374" s="39">
        <v>850689710</v>
      </c>
      <c r="C374" s="51">
        <f t="shared" ca="1" si="5"/>
        <v>44974</v>
      </c>
      <c r="D374" s="39" t="s">
        <v>26</v>
      </c>
      <c r="E374" s="40" t="s">
        <v>402</v>
      </c>
      <c r="F374" s="40">
        <v>1</v>
      </c>
      <c r="G374" s="41">
        <v>600</v>
      </c>
      <c r="H374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74" s="42">
        <v>1400</v>
      </c>
      <c r="J374" s="43">
        <f>Tabla2[[#This Row],[CANTIDAD CARGADAS]]*Tabla2[[#This Row],[COSTOS]]</f>
        <v>600</v>
      </c>
    </row>
    <row r="375" spans="1:10" x14ac:dyDescent="0.25">
      <c r="A375" s="38">
        <v>397</v>
      </c>
      <c r="B375" s="39">
        <v>269600459</v>
      </c>
      <c r="C375" s="51">
        <f t="shared" ca="1" si="5"/>
        <v>44974</v>
      </c>
      <c r="D375" s="39" t="s">
        <v>26</v>
      </c>
      <c r="E375" s="40" t="s">
        <v>403</v>
      </c>
      <c r="F375" s="40">
        <v>12</v>
      </c>
      <c r="G375" s="41">
        <v>600</v>
      </c>
      <c r="H375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75" s="42">
        <v>1200</v>
      </c>
      <c r="J375" s="43">
        <f>Tabla2[[#This Row],[CANTIDAD CARGADAS]]*Tabla2[[#This Row],[COSTOS]]</f>
        <v>7200</v>
      </c>
    </row>
    <row r="376" spans="1:10" x14ac:dyDescent="0.25">
      <c r="A376" s="38">
        <v>398</v>
      </c>
      <c r="B376" s="39">
        <v>281432047</v>
      </c>
      <c r="C376" s="51">
        <f t="shared" ca="1" si="5"/>
        <v>44974</v>
      </c>
      <c r="D376" s="39" t="s">
        <v>26</v>
      </c>
      <c r="E376" s="40" t="s">
        <v>404</v>
      </c>
      <c r="F376" s="40">
        <v>10</v>
      </c>
      <c r="G376" s="41">
        <v>400</v>
      </c>
      <c r="H376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76" s="42">
        <v>1000</v>
      </c>
      <c r="J376" s="43">
        <f>Tabla2[[#This Row],[CANTIDAD CARGADAS]]*Tabla2[[#This Row],[COSTOS]]</f>
        <v>4000</v>
      </c>
    </row>
    <row r="377" spans="1:10" x14ac:dyDescent="0.25">
      <c r="A377" s="38">
        <v>399</v>
      </c>
      <c r="B377" s="39">
        <v>930549129</v>
      </c>
      <c r="C377" s="51">
        <f t="shared" ca="1" si="5"/>
        <v>44974</v>
      </c>
      <c r="D377" s="39" t="s">
        <v>26</v>
      </c>
      <c r="E377" s="40" t="s">
        <v>405</v>
      </c>
      <c r="F377" s="40">
        <v>15</v>
      </c>
      <c r="G377" s="41">
        <v>200</v>
      </c>
      <c r="H377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377" s="42">
        <v>600</v>
      </c>
      <c r="J377" s="43">
        <f>Tabla2[[#This Row],[CANTIDAD CARGADAS]]*Tabla2[[#This Row],[COSTOS]]</f>
        <v>3000</v>
      </c>
    </row>
    <row r="378" spans="1:10" x14ac:dyDescent="0.25">
      <c r="A378" s="38">
        <v>400</v>
      </c>
      <c r="B378" s="39">
        <v>888939329</v>
      </c>
      <c r="C378" s="51">
        <f t="shared" ca="1" si="5"/>
        <v>44974</v>
      </c>
      <c r="D378" s="39" t="s">
        <v>26</v>
      </c>
      <c r="E378" s="40" t="s">
        <v>406</v>
      </c>
      <c r="F378" s="40">
        <v>14</v>
      </c>
      <c r="G378" s="41">
        <v>400</v>
      </c>
      <c r="H378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378" s="42">
        <v>1000</v>
      </c>
      <c r="J378" s="43">
        <f>Tabla2[[#This Row],[CANTIDAD CARGADAS]]*Tabla2[[#This Row],[COSTOS]]</f>
        <v>5600</v>
      </c>
    </row>
    <row r="379" spans="1:10" x14ac:dyDescent="0.25">
      <c r="A379" s="38">
        <v>401</v>
      </c>
      <c r="B379" s="39">
        <v>764281208</v>
      </c>
      <c r="C379" s="51">
        <f t="shared" ca="1" si="5"/>
        <v>44974</v>
      </c>
      <c r="D379" s="39" t="s">
        <v>26</v>
      </c>
      <c r="E379" s="40" t="s">
        <v>407</v>
      </c>
      <c r="F379" s="40">
        <v>22</v>
      </c>
      <c r="G379" s="41">
        <v>200</v>
      </c>
      <c r="H379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379" s="42">
        <v>600</v>
      </c>
      <c r="J379" s="43">
        <f>Tabla2[[#This Row],[CANTIDAD CARGADAS]]*Tabla2[[#This Row],[COSTOS]]</f>
        <v>4400</v>
      </c>
    </row>
    <row r="380" spans="1:10" x14ac:dyDescent="0.25">
      <c r="A380" s="38">
        <v>402</v>
      </c>
      <c r="B380" s="39">
        <v>181205848</v>
      </c>
      <c r="C380" s="51">
        <f t="shared" ca="1" si="5"/>
        <v>44974</v>
      </c>
      <c r="D380" s="39" t="s">
        <v>26</v>
      </c>
      <c r="E380" s="40" t="s">
        <v>408</v>
      </c>
      <c r="F380" s="40">
        <v>7</v>
      </c>
      <c r="G380" s="41">
        <v>400</v>
      </c>
      <c r="H380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380" s="42">
        <v>1000</v>
      </c>
      <c r="J380" s="43">
        <f>Tabla2[[#This Row],[CANTIDAD CARGADAS]]*Tabla2[[#This Row],[COSTOS]]</f>
        <v>2800</v>
      </c>
    </row>
    <row r="381" spans="1:10" x14ac:dyDescent="0.25">
      <c r="A381" s="38">
        <v>403</v>
      </c>
      <c r="B381" s="39">
        <v>955103612</v>
      </c>
      <c r="C381" s="51">
        <f t="shared" ca="1" si="5"/>
        <v>44974</v>
      </c>
      <c r="D381" s="39" t="s">
        <v>26</v>
      </c>
      <c r="E381" s="40" t="s">
        <v>409</v>
      </c>
      <c r="F381" s="40">
        <v>8</v>
      </c>
      <c r="G381" s="41">
        <v>400</v>
      </c>
      <c r="H381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381" s="42">
        <v>1000</v>
      </c>
      <c r="J381" s="43">
        <f>Tabla2[[#This Row],[CANTIDAD CARGADAS]]*Tabla2[[#This Row],[COSTOS]]</f>
        <v>3200</v>
      </c>
    </row>
    <row r="382" spans="1:10" x14ac:dyDescent="0.25">
      <c r="A382" s="38">
        <v>404</v>
      </c>
      <c r="B382" s="39">
        <v>955450663</v>
      </c>
      <c r="C382" s="51">
        <f t="shared" ca="1" si="5"/>
        <v>44974</v>
      </c>
      <c r="D382" s="39" t="s">
        <v>26</v>
      </c>
      <c r="E382" s="40" t="s">
        <v>410</v>
      </c>
      <c r="F382" s="40">
        <v>7</v>
      </c>
      <c r="G382" s="41">
        <v>400</v>
      </c>
      <c r="H382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382" s="42">
        <v>1000</v>
      </c>
      <c r="J382" s="43">
        <f>Tabla2[[#This Row],[CANTIDAD CARGADAS]]*Tabla2[[#This Row],[COSTOS]]</f>
        <v>2800</v>
      </c>
    </row>
    <row r="383" spans="1:10" x14ac:dyDescent="0.25">
      <c r="A383" s="38">
        <v>405</v>
      </c>
      <c r="B383" s="39">
        <v>955103612</v>
      </c>
      <c r="C383" s="51">
        <f t="shared" ca="1" si="5"/>
        <v>44974</v>
      </c>
      <c r="D383" s="39" t="s">
        <v>26</v>
      </c>
      <c r="E383" s="40" t="s">
        <v>409</v>
      </c>
      <c r="F383" s="40">
        <v>9</v>
      </c>
      <c r="G383" s="41">
        <v>400</v>
      </c>
      <c r="H383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383" s="42">
        <v>1000</v>
      </c>
      <c r="J383" s="43">
        <f>Tabla2[[#This Row],[CANTIDAD CARGADAS]]*Tabla2[[#This Row],[COSTOS]]</f>
        <v>3600</v>
      </c>
    </row>
    <row r="384" spans="1:10" x14ac:dyDescent="0.25">
      <c r="A384" s="38">
        <v>406</v>
      </c>
      <c r="B384" s="39">
        <v>766433779</v>
      </c>
      <c r="C384" s="51">
        <f t="shared" ca="1" si="5"/>
        <v>44974</v>
      </c>
      <c r="D384" s="39" t="s">
        <v>26</v>
      </c>
      <c r="E384" s="40" t="s">
        <v>411</v>
      </c>
      <c r="F384" s="40">
        <v>1</v>
      </c>
      <c r="G384" s="41">
        <v>200</v>
      </c>
      <c r="H384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84" s="42">
        <v>600</v>
      </c>
      <c r="J384" s="43">
        <f>Tabla2[[#This Row],[CANTIDAD CARGADAS]]*Tabla2[[#This Row],[COSTOS]]</f>
        <v>200</v>
      </c>
    </row>
    <row r="385" spans="1:10" x14ac:dyDescent="0.25">
      <c r="A385" s="38">
        <v>407</v>
      </c>
      <c r="B385" s="39">
        <v>716471961</v>
      </c>
      <c r="C385" s="51">
        <f t="shared" ca="1" si="5"/>
        <v>44974</v>
      </c>
      <c r="D385" s="39" t="s">
        <v>26</v>
      </c>
      <c r="E385" s="40" t="s">
        <v>412</v>
      </c>
      <c r="F385" s="40">
        <v>2</v>
      </c>
      <c r="G385" s="41">
        <v>400</v>
      </c>
      <c r="H385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85" s="42">
        <v>1000</v>
      </c>
      <c r="J385" s="43">
        <f>Tabla2[[#This Row],[CANTIDAD CARGADAS]]*Tabla2[[#This Row],[COSTOS]]</f>
        <v>800</v>
      </c>
    </row>
    <row r="386" spans="1:10" x14ac:dyDescent="0.25">
      <c r="A386" s="38">
        <v>408</v>
      </c>
      <c r="B386" s="39">
        <v>25755624</v>
      </c>
      <c r="C386" s="51">
        <f t="shared" ca="1" si="5"/>
        <v>44974</v>
      </c>
      <c r="D386" s="39" t="s">
        <v>26</v>
      </c>
      <c r="E386" s="40" t="s">
        <v>413</v>
      </c>
      <c r="F386" s="40">
        <v>4</v>
      </c>
      <c r="G386" s="41">
        <v>400</v>
      </c>
      <c r="H386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6" s="42">
        <v>1000</v>
      </c>
      <c r="J386" s="43">
        <f>Tabla2[[#This Row],[CANTIDAD CARGADAS]]*Tabla2[[#This Row],[COSTOS]]</f>
        <v>1600</v>
      </c>
    </row>
    <row r="387" spans="1:10" x14ac:dyDescent="0.25">
      <c r="A387" s="38">
        <v>409</v>
      </c>
      <c r="B387" s="39">
        <v>211494658</v>
      </c>
      <c r="C387" s="51">
        <f t="shared" ref="C387:C435" ca="1" si="6">TODAY()</f>
        <v>44974</v>
      </c>
      <c r="D387" s="39" t="s">
        <v>205</v>
      </c>
      <c r="E387" s="40" t="s">
        <v>414</v>
      </c>
      <c r="F387" s="40">
        <v>10</v>
      </c>
      <c r="G387" s="41">
        <v>300</v>
      </c>
      <c r="H387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87" s="42">
        <v>700</v>
      </c>
      <c r="J387" s="43">
        <f>Tabla2[[#This Row],[CANTIDAD CARGADAS]]*Tabla2[[#This Row],[COSTOS]]</f>
        <v>3000</v>
      </c>
    </row>
    <row r="388" spans="1:10" x14ac:dyDescent="0.25">
      <c r="A388" s="38">
        <v>410</v>
      </c>
      <c r="B388" s="39">
        <v>496664605</v>
      </c>
      <c r="C388" s="51">
        <f t="shared" ca="1" si="6"/>
        <v>44974</v>
      </c>
      <c r="D388" s="39" t="s">
        <v>26</v>
      </c>
      <c r="E388" s="40" t="s">
        <v>415</v>
      </c>
      <c r="F388" s="40">
        <v>5</v>
      </c>
      <c r="G388" s="41">
        <v>200</v>
      </c>
      <c r="H388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88" s="42">
        <v>600</v>
      </c>
      <c r="J388" s="43">
        <f>Tabla2[[#This Row],[CANTIDAD CARGADAS]]*Tabla2[[#This Row],[COSTOS]]</f>
        <v>1000</v>
      </c>
    </row>
    <row r="389" spans="1:10" x14ac:dyDescent="0.25">
      <c r="A389" s="38">
        <v>411</v>
      </c>
      <c r="B389" s="39">
        <v>305387934</v>
      </c>
      <c r="C389" s="51">
        <f t="shared" ca="1" si="6"/>
        <v>44974</v>
      </c>
      <c r="D389" s="39" t="s">
        <v>26</v>
      </c>
      <c r="E389" s="40" t="s">
        <v>416</v>
      </c>
      <c r="F389" s="40">
        <v>3</v>
      </c>
      <c r="G389" s="41">
        <v>400</v>
      </c>
      <c r="H389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89" s="42">
        <v>1000</v>
      </c>
      <c r="J389" s="43">
        <f>Tabla2[[#This Row],[CANTIDAD CARGADAS]]*Tabla2[[#This Row],[COSTOS]]</f>
        <v>1200</v>
      </c>
    </row>
    <row r="390" spans="1:10" x14ac:dyDescent="0.25">
      <c r="A390" s="38">
        <v>412</v>
      </c>
      <c r="B390" s="39">
        <v>698838808</v>
      </c>
      <c r="C390" s="51">
        <f t="shared" ca="1" si="6"/>
        <v>44974</v>
      </c>
      <c r="D390" s="39" t="s">
        <v>26</v>
      </c>
      <c r="E390" s="40" t="s">
        <v>417</v>
      </c>
      <c r="F390" s="40">
        <v>5</v>
      </c>
      <c r="G390" s="41">
        <v>400</v>
      </c>
      <c r="H390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90" s="42">
        <v>1000</v>
      </c>
      <c r="J390" s="43">
        <f>Tabla2[[#This Row],[CANTIDAD CARGADAS]]*Tabla2[[#This Row],[COSTOS]]</f>
        <v>2000</v>
      </c>
    </row>
    <row r="391" spans="1:10" x14ac:dyDescent="0.25">
      <c r="A391" s="38">
        <v>413</v>
      </c>
      <c r="B391" s="39">
        <v>543014943</v>
      </c>
      <c r="C391" s="51">
        <f t="shared" ca="1" si="6"/>
        <v>44974</v>
      </c>
      <c r="D391" s="39" t="s">
        <v>26</v>
      </c>
      <c r="E391" s="40" t="s">
        <v>418</v>
      </c>
      <c r="F391" s="40">
        <v>21</v>
      </c>
      <c r="G391" s="41">
        <v>400</v>
      </c>
      <c r="H391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391" s="42">
        <v>1000</v>
      </c>
      <c r="J391" s="43">
        <f>Tabla2[[#This Row],[CANTIDAD CARGADAS]]*Tabla2[[#This Row],[COSTOS]]</f>
        <v>8400</v>
      </c>
    </row>
    <row r="392" spans="1:10" x14ac:dyDescent="0.25">
      <c r="A392" s="38">
        <v>414</v>
      </c>
      <c r="B392" s="39">
        <v>925758782</v>
      </c>
      <c r="C392" s="51">
        <f t="shared" ca="1" si="6"/>
        <v>44974</v>
      </c>
      <c r="D392" s="39" t="s">
        <v>26</v>
      </c>
      <c r="E392" s="40" t="s">
        <v>419</v>
      </c>
      <c r="F392" s="40">
        <v>2</v>
      </c>
      <c r="G392" s="41">
        <v>600</v>
      </c>
      <c r="H392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92" s="42">
        <v>1400</v>
      </c>
      <c r="J392" s="43">
        <f>Tabla2[[#This Row],[CANTIDAD CARGADAS]]*Tabla2[[#This Row],[COSTOS]]</f>
        <v>1200</v>
      </c>
    </row>
    <row r="393" spans="1:10" x14ac:dyDescent="0.25">
      <c r="A393" s="38">
        <v>415</v>
      </c>
      <c r="B393" s="39">
        <v>22210762</v>
      </c>
      <c r="C393" s="51">
        <f t="shared" ca="1" si="6"/>
        <v>44974</v>
      </c>
      <c r="D393" s="39" t="s">
        <v>26</v>
      </c>
      <c r="E393" s="40" t="s">
        <v>420</v>
      </c>
      <c r="F393" s="40">
        <v>3</v>
      </c>
      <c r="G393" s="41">
        <v>400</v>
      </c>
      <c r="H393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93" s="42">
        <v>1000</v>
      </c>
      <c r="J393" s="43">
        <f>Tabla2[[#This Row],[CANTIDAD CARGADAS]]*Tabla2[[#This Row],[COSTOS]]</f>
        <v>1200</v>
      </c>
    </row>
    <row r="394" spans="1:10" x14ac:dyDescent="0.25">
      <c r="A394" s="38">
        <v>416</v>
      </c>
      <c r="B394" s="39">
        <v>107822100</v>
      </c>
      <c r="C394" s="51">
        <f t="shared" ca="1" si="6"/>
        <v>44974</v>
      </c>
      <c r="D394" s="39" t="s">
        <v>26</v>
      </c>
      <c r="E394" s="40" t="s">
        <v>421</v>
      </c>
      <c r="F394" s="40">
        <v>19</v>
      </c>
      <c r="G394" s="41">
        <v>200</v>
      </c>
      <c r="H394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394" s="42">
        <v>600</v>
      </c>
      <c r="J394" s="43">
        <f>Tabla2[[#This Row],[CANTIDAD CARGADAS]]*Tabla2[[#This Row],[COSTOS]]</f>
        <v>3800</v>
      </c>
    </row>
    <row r="395" spans="1:10" x14ac:dyDescent="0.25">
      <c r="A395" s="38">
        <v>417</v>
      </c>
      <c r="B395" s="39">
        <v>963764368</v>
      </c>
      <c r="C395" s="51">
        <f t="shared" ca="1" si="6"/>
        <v>44974</v>
      </c>
      <c r="D395" s="39" t="s">
        <v>26</v>
      </c>
      <c r="E395" s="40" t="s">
        <v>422</v>
      </c>
      <c r="F395" s="40">
        <v>1</v>
      </c>
      <c r="G395" s="41">
        <v>400</v>
      </c>
      <c r="H395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95" s="42">
        <v>1000</v>
      </c>
      <c r="J395" s="43">
        <f>Tabla2[[#This Row],[CANTIDAD CARGADAS]]*Tabla2[[#This Row],[COSTOS]]</f>
        <v>400</v>
      </c>
    </row>
    <row r="396" spans="1:10" x14ac:dyDescent="0.25">
      <c r="A396" s="38">
        <v>418</v>
      </c>
      <c r="B396" s="39">
        <v>571063757</v>
      </c>
      <c r="C396" s="51">
        <f t="shared" ca="1" si="6"/>
        <v>44974</v>
      </c>
      <c r="D396" s="39" t="s">
        <v>26</v>
      </c>
      <c r="E396" s="40" t="s">
        <v>423</v>
      </c>
      <c r="F396" s="40">
        <v>2</v>
      </c>
      <c r="G396" s="41">
        <v>400</v>
      </c>
      <c r="H396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96" s="42">
        <v>1000</v>
      </c>
      <c r="J396" s="43">
        <f>Tabla2[[#This Row],[CANTIDAD CARGADAS]]*Tabla2[[#This Row],[COSTOS]]</f>
        <v>800</v>
      </c>
    </row>
    <row r="397" spans="1:10" x14ac:dyDescent="0.25">
      <c r="A397" s="38">
        <v>419</v>
      </c>
      <c r="B397" s="39">
        <v>421595884</v>
      </c>
      <c r="C397" s="51">
        <f t="shared" ca="1" si="6"/>
        <v>44974</v>
      </c>
      <c r="D397" s="39" t="s">
        <v>26</v>
      </c>
      <c r="E397" s="40" t="s">
        <v>424</v>
      </c>
      <c r="F397" s="40">
        <v>8</v>
      </c>
      <c r="G397" s="41">
        <v>400</v>
      </c>
      <c r="H397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97" s="42">
        <v>1000</v>
      </c>
      <c r="J397" s="43">
        <f>Tabla2[[#This Row],[CANTIDAD CARGADAS]]*Tabla2[[#This Row],[COSTOS]]</f>
        <v>3200</v>
      </c>
    </row>
    <row r="398" spans="1:10" x14ac:dyDescent="0.25">
      <c r="A398" s="38">
        <v>420</v>
      </c>
      <c r="B398" s="39">
        <v>355459684</v>
      </c>
      <c r="C398" s="51">
        <f t="shared" ca="1" si="6"/>
        <v>44974</v>
      </c>
      <c r="D398" s="39" t="s">
        <v>26</v>
      </c>
      <c r="E398" s="40" t="s">
        <v>425</v>
      </c>
      <c r="F398" s="40">
        <v>2</v>
      </c>
      <c r="G398" s="41">
        <v>400</v>
      </c>
      <c r="H398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98" s="42">
        <v>1000</v>
      </c>
      <c r="J398" s="43">
        <f>Tabla2[[#This Row],[CANTIDAD CARGADAS]]*Tabla2[[#This Row],[COSTOS]]</f>
        <v>800</v>
      </c>
    </row>
    <row r="399" spans="1:10" x14ac:dyDescent="0.25">
      <c r="A399" s="38">
        <v>421</v>
      </c>
      <c r="B399" s="39">
        <v>18782167</v>
      </c>
      <c r="C399" s="51">
        <f t="shared" ca="1" si="6"/>
        <v>44974</v>
      </c>
      <c r="D399" s="39" t="s">
        <v>26</v>
      </c>
      <c r="E399" s="40" t="s">
        <v>426</v>
      </c>
      <c r="F399" s="40">
        <v>17</v>
      </c>
      <c r="G399" s="41">
        <v>400</v>
      </c>
      <c r="H399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399" s="42">
        <v>1000</v>
      </c>
      <c r="J399" s="43">
        <f>Tabla2[[#This Row],[CANTIDAD CARGADAS]]*Tabla2[[#This Row],[COSTOS]]</f>
        <v>6800</v>
      </c>
    </row>
    <row r="400" spans="1:10" x14ac:dyDescent="0.25">
      <c r="A400" s="38">
        <v>422</v>
      </c>
      <c r="B400" s="39">
        <v>145438527</v>
      </c>
      <c r="C400" s="51">
        <f t="shared" ca="1" si="6"/>
        <v>44974</v>
      </c>
      <c r="D400" s="39" t="s">
        <v>26</v>
      </c>
      <c r="E400" s="40" t="s">
        <v>427</v>
      </c>
      <c r="F400" s="40">
        <v>12</v>
      </c>
      <c r="G400" s="41">
        <v>400</v>
      </c>
      <c r="H400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00" s="42">
        <v>1000</v>
      </c>
      <c r="J400" s="43">
        <f>Tabla2[[#This Row],[CANTIDAD CARGADAS]]*Tabla2[[#This Row],[COSTOS]]</f>
        <v>4800</v>
      </c>
    </row>
    <row r="401" spans="1:10" x14ac:dyDescent="0.25">
      <c r="A401" s="38">
        <v>423</v>
      </c>
      <c r="B401" s="39">
        <v>149780316</v>
      </c>
      <c r="C401" s="51">
        <f t="shared" ca="1" si="6"/>
        <v>44974</v>
      </c>
      <c r="D401" s="39" t="s">
        <v>26</v>
      </c>
      <c r="E401" s="40" t="s">
        <v>428</v>
      </c>
      <c r="F401" s="40">
        <v>5</v>
      </c>
      <c r="G401" s="41">
        <v>600</v>
      </c>
      <c r="H401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01" s="42">
        <v>1400</v>
      </c>
      <c r="J401" s="43">
        <f>Tabla2[[#This Row],[CANTIDAD CARGADAS]]*Tabla2[[#This Row],[COSTOS]]</f>
        <v>3000</v>
      </c>
    </row>
    <row r="402" spans="1:10" x14ac:dyDescent="0.25">
      <c r="A402" s="38">
        <v>424</v>
      </c>
      <c r="B402" s="39">
        <v>682246907</v>
      </c>
      <c r="C402" s="51">
        <f t="shared" ca="1" si="6"/>
        <v>44974</v>
      </c>
      <c r="D402" s="39" t="s">
        <v>26</v>
      </c>
      <c r="E402" s="40" t="s">
        <v>429</v>
      </c>
      <c r="F402" s="40">
        <v>9</v>
      </c>
      <c r="G402" s="41">
        <v>400</v>
      </c>
      <c r="H402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02" s="42">
        <v>1000</v>
      </c>
      <c r="J402" s="43">
        <f>Tabla2[[#This Row],[CANTIDAD CARGADAS]]*Tabla2[[#This Row],[COSTOS]]</f>
        <v>3600</v>
      </c>
    </row>
    <row r="403" spans="1:10" x14ac:dyDescent="0.25">
      <c r="A403" s="38">
        <v>425</v>
      </c>
      <c r="B403" s="39">
        <v>15287986</v>
      </c>
      <c r="C403" s="51">
        <f t="shared" ca="1" si="6"/>
        <v>44974</v>
      </c>
      <c r="D403" s="39" t="s">
        <v>26</v>
      </c>
      <c r="E403" s="40" t="s">
        <v>430</v>
      </c>
      <c r="F403" s="40">
        <v>4</v>
      </c>
      <c r="G403" s="41">
        <v>400</v>
      </c>
      <c r="H403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03" s="42">
        <v>1000</v>
      </c>
      <c r="J403" s="43">
        <f>Tabla2[[#This Row],[CANTIDAD CARGADAS]]*Tabla2[[#This Row],[COSTOS]]</f>
        <v>1600</v>
      </c>
    </row>
    <row r="404" spans="1:10" x14ac:dyDescent="0.25">
      <c r="A404" s="38">
        <v>426</v>
      </c>
      <c r="B404" s="39">
        <v>727779864</v>
      </c>
      <c r="C404" s="51">
        <f t="shared" ca="1" si="6"/>
        <v>44974</v>
      </c>
      <c r="D404" s="39" t="s">
        <v>26</v>
      </c>
      <c r="E404" s="40" t="s">
        <v>431</v>
      </c>
      <c r="F404" s="40">
        <v>3</v>
      </c>
      <c r="G404" s="41">
        <v>400</v>
      </c>
      <c r="H404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04" s="42">
        <v>1000</v>
      </c>
      <c r="J404" s="43">
        <f>Tabla2[[#This Row],[CANTIDAD CARGADAS]]*Tabla2[[#This Row],[COSTOS]]</f>
        <v>1200</v>
      </c>
    </row>
    <row r="405" spans="1:10" x14ac:dyDescent="0.25">
      <c r="A405" s="38">
        <v>427</v>
      </c>
      <c r="B405" s="39">
        <v>659890162</v>
      </c>
      <c r="C405" s="51">
        <f t="shared" ca="1" si="6"/>
        <v>44974</v>
      </c>
      <c r="D405" s="39" t="s">
        <v>26</v>
      </c>
      <c r="E405" s="40" t="s">
        <v>432</v>
      </c>
      <c r="F405" s="40">
        <v>12</v>
      </c>
      <c r="G405" s="41">
        <v>200</v>
      </c>
      <c r="H405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05" s="42">
        <v>600</v>
      </c>
      <c r="J405" s="43">
        <f>Tabla2[[#This Row],[CANTIDAD CARGADAS]]*Tabla2[[#This Row],[COSTOS]]</f>
        <v>2400</v>
      </c>
    </row>
    <row r="406" spans="1:10" x14ac:dyDescent="0.25">
      <c r="A406" s="38">
        <v>428</v>
      </c>
      <c r="B406" s="39">
        <v>67442688</v>
      </c>
      <c r="C406" s="51">
        <f t="shared" ca="1" si="6"/>
        <v>44974</v>
      </c>
      <c r="D406" s="39" t="s">
        <v>26</v>
      </c>
      <c r="E406" s="40" t="s">
        <v>433</v>
      </c>
      <c r="F406" s="40">
        <v>2</v>
      </c>
      <c r="G406" s="41">
        <v>600</v>
      </c>
      <c r="H406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06" s="42">
        <v>1400</v>
      </c>
      <c r="J406" s="43">
        <f>Tabla2[[#This Row],[CANTIDAD CARGADAS]]*Tabla2[[#This Row],[COSTOS]]</f>
        <v>1200</v>
      </c>
    </row>
    <row r="407" spans="1:10" x14ac:dyDescent="0.25">
      <c r="A407" s="38">
        <v>429</v>
      </c>
      <c r="B407" s="39">
        <v>941477667</v>
      </c>
      <c r="C407" s="51">
        <f t="shared" ca="1" si="6"/>
        <v>44974</v>
      </c>
      <c r="D407" s="39" t="s">
        <v>26</v>
      </c>
      <c r="E407" s="40" t="s">
        <v>434</v>
      </c>
      <c r="F407" s="40">
        <v>21</v>
      </c>
      <c r="G407" s="41">
        <v>400</v>
      </c>
      <c r="H407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407" s="42">
        <v>1000</v>
      </c>
      <c r="J407" s="43">
        <f>Tabla2[[#This Row],[CANTIDAD CARGADAS]]*Tabla2[[#This Row],[COSTOS]]</f>
        <v>8400</v>
      </c>
    </row>
    <row r="408" spans="1:10" x14ac:dyDescent="0.25">
      <c r="A408" s="38">
        <v>430</v>
      </c>
      <c r="B408" s="39">
        <v>198420950</v>
      </c>
      <c r="C408" s="51">
        <f t="shared" ca="1" si="6"/>
        <v>44974</v>
      </c>
      <c r="D408" s="39" t="s">
        <v>26</v>
      </c>
      <c r="E408" s="40" t="s">
        <v>435</v>
      </c>
      <c r="F408" s="40">
        <v>5</v>
      </c>
      <c r="G408" s="41">
        <v>400</v>
      </c>
      <c r="H408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08" s="42">
        <v>1000</v>
      </c>
      <c r="J408" s="43">
        <f>Tabla2[[#This Row],[CANTIDAD CARGADAS]]*Tabla2[[#This Row],[COSTOS]]</f>
        <v>2000</v>
      </c>
    </row>
    <row r="409" spans="1:10" x14ac:dyDescent="0.25">
      <c r="A409" s="38">
        <v>431</v>
      </c>
      <c r="B409" s="39">
        <v>829996583</v>
      </c>
      <c r="C409" s="51">
        <f t="shared" ca="1" si="6"/>
        <v>44974</v>
      </c>
      <c r="D409" s="39" t="s">
        <v>26</v>
      </c>
      <c r="E409" s="40" t="s">
        <v>436</v>
      </c>
      <c r="F409" s="40">
        <v>2</v>
      </c>
      <c r="G409" s="41">
        <v>400</v>
      </c>
      <c r="H409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09" s="42">
        <v>1000</v>
      </c>
      <c r="J409" s="43">
        <f>Tabla2[[#This Row],[CANTIDAD CARGADAS]]*Tabla2[[#This Row],[COSTOS]]</f>
        <v>800</v>
      </c>
    </row>
    <row r="410" spans="1:10" x14ac:dyDescent="0.25">
      <c r="A410" s="38">
        <v>432</v>
      </c>
      <c r="B410" s="39">
        <v>159464564</v>
      </c>
      <c r="C410" s="51">
        <f t="shared" ca="1" si="6"/>
        <v>44974</v>
      </c>
      <c r="D410" s="39" t="s">
        <v>26</v>
      </c>
      <c r="E410" s="40" t="s">
        <v>437</v>
      </c>
      <c r="F410" s="40">
        <v>2</v>
      </c>
      <c r="G410" s="41">
        <v>400</v>
      </c>
      <c r="H410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10" s="42">
        <v>1000</v>
      </c>
      <c r="J410" s="43">
        <f>Tabla2[[#This Row],[CANTIDAD CARGADAS]]*Tabla2[[#This Row],[COSTOS]]</f>
        <v>800</v>
      </c>
    </row>
    <row r="411" spans="1:10" x14ac:dyDescent="0.25">
      <c r="A411" s="38">
        <v>433</v>
      </c>
      <c r="B411" s="39">
        <v>46549114</v>
      </c>
      <c r="C411" s="51">
        <f t="shared" ca="1" si="6"/>
        <v>44974</v>
      </c>
      <c r="D411" s="39" t="s">
        <v>26</v>
      </c>
      <c r="E411" s="40" t="s">
        <v>438</v>
      </c>
      <c r="F411" s="40">
        <v>2</v>
      </c>
      <c r="G411" s="41">
        <v>400</v>
      </c>
      <c r="H411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11" s="42">
        <v>1000</v>
      </c>
      <c r="J411" s="43">
        <f>Tabla2[[#This Row],[CANTIDAD CARGADAS]]*Tabla2[[#This Row],[COSTOS]]</f>
        <v>800</v>
      </c>
    </row>
    <row r="412" spans="1:10" x14ac:dyDescent="0.25">
      <c r="A412" s="38">
        <v>434</v>
      </c>
      <c r="B412" s="39">
        <v>303283075</v>
      </c>
      <c r="C412" s="51">
        <f t="shared" ca="1" si="6"/>
        <v>44974</v>
      </c>
      <c r="D412" s="39" t="s">
        <v>26</v>
      </c>
      <c r="E412" s="40" t="s">
        <v>439</v>
      </c>
      <c r="F412" s="40">
        <v>3</v>
      </c>
      <c r="G412" s="41">
        <v>400</v>
      </c>
      <c r="H412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12" s="42">
        <v>1000</v>
      </c>
      <c r="J412" s="43">
        <f>Tabla2[[#This Row],[CANTIDAD CARGADAS]]*Tabla2[[#This Row],[COSTOS]]</f>
        <v>1200</v>
      </c>
    </row>
    <row r="413" spans="1:10" x14ac:dyDescent="0.25">
      <c r="A413" s="38">
        <v>435</v>
      </c>
      <c r="B413" s="39">
        <v>300663517</v>
      </c>
      <c r="C413" s="51">
        <f t="shared" ca="1" si="6"/>
        <v>44974</v>
      </c>
      <c r="D413" s="39" t="s">
        <v>26</v>
      </c>
      <c r="E413" s="40" t="s">
        <v>440</v>
      </c>
      <c r="F413" s="40">
        <v>1</v>
      </c>
      <c r="G413" s="41">
        <v>400</v>
      </c>
      <c r="H413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13" s="42">
        <v>1000</v>
      </c>
      <c r="J413" s="43">
        <f>Tabla2[[#This Row],[CANTIDAD CARGADAS]]*Tabla2[[#This Row],[COSTOS]]</f>
        <v>400</v>
      </c>
    </row>
    <row r="414" spans="1:10" x14ac:dyDescent="0.25">
      <c r="A414" s="38">
        <v>436</v>
      </c>
      <c r="B414" s="39">
        <v>355459686</v>
      </c>
      <c r="C414" s="51">
        <f t="shared" ca="1" si="6"/>
        <v>44974</v>
      </c>
      <c r="D414" s="39" t="s">
        <v>26</v>
      </c>
      <c r="E414" s="40" t="s">
        <v>441</v>
      </c>
      <c r="F414" s="40">
        <v>1</v>
      </c>
      <c r="G414" s="41">
        <v>400</v>
      </c>
      <c r="H414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14" s="42">
        <v>1000</v>
      </c>
      <c r="J414" s="43">
        <f>Tabla2[[#This Row],[CANTIDAD CARGADAS]]*Tabla2[[#This Row],[COSTOS]]</f>
        <v>400</v>
      </c>
    </row>
    <row r="415" spans="1:10" x14ac:dyDescent="0.25">
      <c r="A415" s="38">
        <v>437</v>
      </c>
      <c r="B415" s="39">
        <v>697393772</v>
      </c>
      <c r="C415" s="51">
        <f t="shared" ca="1" si="6"/>
        <v>44974</v>
      </c>
      <c r="D415" s="39" t="s">
        <v>26</v>
      </c>
      <c r="E415" s="40" t="s">
        <v>442</v>
      </c>
      <c r="F415" s="40">
        <v>1</v>
      </c>
      <c r="G415" s="41">
        <v>400</v>
      </c>
      <c r="H415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15" s="42">
        <v>1000</v>
      </c>
      <c r="J415" s="43">
        <f>Tabla2[[#This Row],[CANTIDAD CARGADAS]]*Tabla2[[#This Row],[COSTOS]]</f>
        <v>400</v>
      </c>
    </row>
    <row r="416" spans="1:10" x14ac:dyDescent="0.25">
      <c r="A416" s="38">
        <v>438</v>
      </c>
      <c r="B416" s="39">
        <v>47274030</v>
      </c>
      <c r="C416" s="51">
        <f t="shared" ca="1" si="6"/>
        <v>44974</v>
      </c>
      <c r="D416" s="39" t="s">
        <v>167</v>
      </c>
      <c r="E416" s="40" t="s">
        <v>443</v>
      </c>
      <c r="F416" s="40">
        <v>5</v>
      </c>
      <c r="G416" s="41">
        <v>100</v>
      </c>
      <c r="H416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16" s="42">
        <v>400</v>
      </c>
      <c r="J416" s="43">
        <f>Tabla2[[#This Row],[CANTIDAD CARGADAS]]*Tabla2[[#This Row],[COSTOS]]</f>
        <v>500</v>
      </c>
    </row>
    <row r="417" spans="1:10" x14ac:dyDescent="0.25">
      <c r="A417" s="38">
        <v>439</v>
      </c>
      <c r="B417" s="39">
        <v>518909236</v>
      </c>
      <c r="C417" s="51">
        <f t="shared" ca="1" si="6"/>
        <v>44974</v>
      </c>
      <c r="D417" s="39" t="s">
        <v>167</v>
      </c>
      <c r="E417" s="40" t="s">
        <v>444</v>
      </c>
      <c r="F417" s="40">
        <v>5</v>
      </c>
      <c r="G417" s="41">
        <v>100</v>
      </c>
      <c r="H417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17" s="42">
        <v>400</v>
      </c>
      <c r="J417" s="43">
        <f>Tabla2[[#This Row],[CANTIDAD CARGADAS]]*Tabla2[[#This Row],[COSTOS]]</f>
        <v>500</v>
      </c>
    </row>
    <row r="418" spans="1:10" x14ac:dyDescent="0.25">
      <c r="A418" s="38">
        <v>440</v>
      </c>
      <c r="B418" s="39">
        <v>275789328</v>
      </c>
      <c r="C418" s="51">
        <f t="shared" ca="1" si="6"/>
        <v>44974</v>
      </c>
      <c r="D418" s="39" t="s">
        <v>167</v>
      </c>
      <c r="E418" s="40" t="s">
        <v>351</v>
      </c>
      <c r="F418" s="40">
        <v>5</v>
      </c>
      <c r="G418" s="41">
        <v>100</v>
      </c>
      <c r="H418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18" s="42">
        <v>400</v>
      </c>
      <c r="J418" s="43">
        <f>Tabla2[[#This Row],[CANTIDAD CARGADAS]]*Tabla2[[#This Row],[COSTOS]]</f>
        <v>500</v>
      </c>
    </row>
    <row r="419" spans="1:10" x14ac:dyDescent="0.25">
      <c r="A419" s="38">
        <v>441</v>
      </c>
      <c r="B419" s="39">
        <v>137449579</v>
      </c>
      <c r="C419" s="51">
        <f t="shared" ca="1" si="6"/>
        <v>44974</v>
      </c>
      <c r="D419" s="39" t="s">
        <v>167</v>
      </c>
      <c r="E419" s="40" t="s">
        <v>445</v>
      </c>
      <c r="F419" s="40">
        <v>3</v>
      </c>
      <c r="G419" s="41">
        <v>100</v>
      </c>
      <c r="H419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19" s="42">
        <v>400</v>
      </c>
      <c r="J419" s="43">
        <f>Tabla2[[#This Row],[CANTIDAD CARGADAS]]*Tabla2[[#This Row],[COSTOS]]</f>
        <v>300</v>
      </c>
    </row>
    <row r="420" spans="1:10" x14ac:dyDescent="0.25">
      <c r="A420" s="38">
        <v>442</v>
      </c>
      <c r="B420" s="39">
        <v>839808038</v>
      </c>
      <c r="C420" s="51">
        <f t="shared" ca="1" si="6"/>
        <v>44974</v>
      </c>
      <c r="D420" s="39" t="s">
        <v>167</v>
      </c>
      <c r="E420" s="40" t="s">
        <v>446</v>
      </c>
      <c r="F420" s="40">
        <v>2</v>
      </c>
      <c r="G420" s="41">
        <v>100</v>
      </c>
      <c r="H420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20" s="42">
        <v>400</v>
      </c>
      <c r="J420" s="43">
        <f>Tabla2[[#This Row],[CANTIDAD CARGADAS]]*Tabla2[[#This Row],[COSTOS]]</f>
        <v>200</v>
      </c>
    </row>
    <row r="421" spans="1:10" x14ac:dyDescent="0.25">
      <c r="A421" s="38">
        <v>443</v>
      </c>
      <c r="B421" s="39">
        <v>383340712</v>
      </c>
      <c r="C421" s="51">
        <f t="shared" ca="1" si="6"/>
        <v>44974</v>
      </c>
      <c r="D421" s="39" t="s">
        <v>167</v>
      </c>
      <c r="E421" s="40" t="s">
        <v>447</v>
      </c>
      <c r="F421" s="40">
        <v>5</v>
      </c>
      <c r="G421" s="41">
        <v>100</v>
      </c>
      <c r="H421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1" s="42">
        <v>400</v>
      </c>
      <c r="J421" s="43">
        <f>Tabla2[[#This Row],[CANTIDAD CARGADAS]]*Tabla2[[#This Row],[COSTOS]]</f>
        <v>500</v>
      </c>
    </row>
    <row r="422" spans="1:10" x14ac:dyDescent="0.25">
      <c r="A422" s="38">
        <v>444</v>
      </c>
      <c r="B422" s="39">
        <v>20487914</v>
      </c>
      <c r="C422" s="51">
        <f t="shared" ca="1" si="6"/>
        <v>44974</v>
      </c>
      <c r="D422" s="39" t="s">
        <v>167</v>
      </c>
      <c r="E422" s="40" t="s">
        <v>448</v>
      </c>
      <c r="F422" s="40">
        <v>6</v>
      </c>
      <c r="G422" s="41">
        <v>100</v>
      </c>
      <c r="H422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22" s="42">
        <v>400</v>
      </c>
      <c r="J422" s="43">
        <f>Tabla2[[#This Row],[CANTIDAD CARGADAS]]*Tabla2[[#This Row],[COSTOS]]</f>
        <v>600</v>
      </c>
    </row>
    <row r="423" spans="1:10" x14ac:dyDescent="0.25">
      <c r="A423" s="38">
        <v>445</v>
      </c>
      <c r="B423" s="39">
        <v>374659862</v>
      </c>
      <c r="C423" s="51">
        <f t="shared" ca="1" si="6"/>
        <v>44974</v>
      </c>
      <c r="D423" s="39" t="s">
        <v>167</v>
      </c>
      <c r="E423" s="40" t="s">
        <v>449</v>
      </c>
      <c r="F423" s="40">
        <v>2</v>
      </c>
      <c r="G423" s="41">
        <v>100</v>
      </c>
      <c r="H423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23" s="42">
        <v>400</v>
      </c>
      <c r="J423" s="43">
        <f>Tabla2[[#This Row],[CANTIDAD CARGADAS]]*Tabla2[[#This Row],[COSTOS]]</f>
        <v>200</v>
      </c>
    </row>
    <row r="424" spans="1:10" x14ac:dyDescent="0.25">
      <c r="A424" s="38">
        <v>446</v>
      </c>
      <c r="B424" s="39">
        <v>883048804</v>
      </c>
      <c r="C424" s="51">
        <f t="shared" ca="1" si="6"/>
        <v>44974</v>
      </c>
      <c r="D424" s="39" t="s">
        <v>167</v>
      </c>
      <c r="E424" s="40" t="s">
        <v>450</v>
      </c>
      <c r="F424" s="40">
        <v>25</v>
      </c>
      <c r="G424" s="41">
        <v>100</v>
      </c>
      <c r="H424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424" s="42">
        <v>400</v>
      </c>
      <c r="J424" s="43">
        <f>Tabla2[[#This Row],[CANTIDAD CARGADAS]]*Tabla2[[#This Row],[COSTOS]]</f>
        <v>2500</v>
      </c>
    </row>
    <row r="425" spans="1:10" x14ac:dyDescent="0.25">
      <c r="A425" s="38">
        <v>447</v>
      </c>
      <c r="B425" s="39">
        <v>996181485</v>
      </c>
      <c r="C425" s="51">
        <f t="shared" ca="1" si="6"/>
        <v>44974</v>
      </c>
      <c r="D425" s="39" t="s">
        <v>167</v>
      </c>
      <c r="E425" s="40" t="s">
        <v>451</v>
      </c>
      <c r="F425" s="40">
        <v>34</v>
      </c>
      <c r="G425" s="41">
        <v>100</v>
      </c>
      <c r="H425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34</v>
      </c>
      <c r="I425" s="42">
        <v>400</v>
      </c>
      <c r="J425" s="43">
        <f>Tabla2[[#This Row],[CANTIDAD CARGADAS]]*Tabla2[[#This Row],[COSTOS]]</f>
        <v>3400</v>
      </c>
    </row>
    <row r="426" spans="1:10" x14ac:dyDescent="0.25">
      <c r="A426" s="38">
        <v>448</v>
      </c>
      <c r="B426" s="39">
        <v>716264737</v>
      </c>
      <c r="C426" s="51">
        <f t="shared" ca="1" si="6"/>
        <v>44974</v>
      </c>
      <c r="D426" s="39" t="s">
        <v>167</v>
      </c>
      <c r="E426" s="40" t="s">
        <v>452</v>
      </c>
      <c r="F426" s="40">
        <v>6</v>
      </c>
      <c r="G426" s="41">
        <v>100</v>
      </c>
      <c r="H426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26" s="42">
        <v>400</v>
      </c>
      <c r="J426" s="43">
        <f>Tabla2[[#This Row],[CANTIDAD CARGADAS]]*Tabla2[[#This Row],[COSTOS]]</f>
        <v>600</v>
      </c>
    </row>
    <row r="427" spans="1:10" x14ac:dyDescent="0.25">
      <c r="A427" s="38">
        <v>449</v>
      </c>
      <c r="B427" s="39">
        <v>844118949</v>
      </c>
      <c r="C427" s="51">
        <f t="shared" ca="1" si="6"/>
        <v>44974</v>
      </c>
      <c r="D427" s="39" t="s">
        <v>167</v>
      </c>
      <c r="E427" s="40" t="s">
        <v>453</v>
      </c>
      <c r="F427" s="40">
        <v>4</v>
      </c>
      <c r="G427" s="41">
        <v>100</v>
      </c>
      <c r="H427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27" s="42">
        <v>400</v>
      </c>
      <c r="J427" s="43">
        <f>Tabla2[[#This Row],[CANTIDAD CARGADAS]]*Tabla2[[#This Row],[COSTOS]]</f>
        <v>400</v>
      </c>
    </row>
    <row r="428" spans="1:10" x14ac:dyDescent="0.25">
      <c r="A428" s="38">
        <v>450</v>
      </c>
      <c r="B428" s="39">
        <v>414439564</v>
      </c>
      <c r="C428" s="51">
        <f t="shared" ca="1" si="6"/>
        <v>44974</v>
      </c>
      <c r="D428" s="39" t="s">
        <v>167</v>
      </c>
      <c r="E428" s="40" t="s">
        <v>454</v>
      </c>
      <c r="F428" s="40">
        <v>11</v>
      </c>
      <c r="G428" s="41">
        <v>100</v>
      </c>
      <c r="H428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28" s="42">
        <v>400</v>
      </c>
      <c r="J428" s="43">
        <f>Tabla2[[#This Row],[CANTIDAD CARGADAS]]*Tabla2[[#This Row],[COSTOS]]</f>
        <v>1100</v>
      </c>
    </row>
    <row r="429" spans="1:10" x14ac:dyDescent="0.25">
      <c r="A429" s="38">
        <v>451</v>
      </c>
      <c r="B429" s="39">
        <v>171471791</v>
      </c>
      <c r="C429" s="51">
        <f t="shared" ca="1" si="6"/>
        <v>44974</v>
      </c>
      <c r="D429" s="39" t="s">
        <v>167</v>
      </c>
      <c r="E429" s="40" t="s">
        <v>359</v>
      </c>
      <c r="F429" s="40">
        <v>3</v>
      </c>
      <c r="G429" s="41">
        <v>100</v>
      </c>
      <c r="H429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29" s="42">
        <v>400</v>
      </c>
      <c r="J429" s="43">
        <f>Tabla2[[#This Row],[CANTIDAD CARGADAS]]*Tabla2[[#This Row],[COSTOS]]</f>
        <v>300</v>
      </c>
    </row>
    <row r="430" spans="1:10" x14ac:dyDescent="0.25">
      <c r="A430" s="38">
        <v>452</v>
      </c>
      <c r="B430" s="39">
        <v>133540649</v>
      </c>
      <c r="C430" s="51">
        <f t="shared" ca="1" si="6"/>
        <v>44974</v>
      </c>
      <c r="D430" s="39" t="s">
        <v>167</v>
      </c>
      <c r="E430" s="40" t="s">
        <v>455</v>
      </c>
      <c r="F430" s="40">
        <v>9</v>
      </c>
      <c r="G430" s="41">
        <v>100</v>
      </c>
      <c r="H430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30" s="42">
        <v>400</v>
      </c>
      <c r="J430" s="43">
        <f>Tabla2[[#This Row],[CANTIDAD CARGADAS]]*Tabla2[[#This Row],[COSTOS]]</f>
        <v>900</v>
      </c>
    </row>
    <row r="431" spans="1:10" x14ac:dyDescent="0.25">
      <c r="A431" s="38">
        <v>453</v>
      </c>
      <c r="B431" s="39">
        <v>434922742</v>
      </c>
      <c r="C431" s="51">
        <f t="shared" ca="1" si="6"/>
        <v>44974</v>
      </c>
      <c r="D431" s="39" t="s">
        <v>167</v>
      </c>
      <c r="E431" s="40" t="s">
        <v>456</v>
      </c>
      <c r="F431" s="40">
        <v>2</v>
      </c>
      <c r="G431" s="41">
        <v>100</v>
      </c>
      <c r="H431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31" s="42">
        <v>400</v>
      </c>
      <c r="J431" s="43">
        <f>Tabla2[[#This Row],[CANTIDAD CARGADAS]]*Tabla2[[#This Row],[COSTOS]]</f>
        <v>200</v>
      </c>
    </row>
    <row r="432" spans="1:10" x14ac:dyDescent="0.25">
      <c r="A432" s="38">
        <v>454</v>
      </c>
      <c r="B432" s="39">
        <v>436003539</v>
      </c>
      <c r="C432" s="51">
        <f t="shared" ca="1" si="6"/>
        <v>44974</v>
      </c>
      <c r="D432" s="39" t="s">
        <v>167</v>
      </c>
      <c r="E432" s="40" t="s">
        <v>457</v>
      </c>
      <c r="F432" s="40">
        <v>3</v>
      </c>
      <c r="G432" s="41">
        <v>100</v>
      </c>
      <c r="H432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32" s="42">
        <v>400</v>
      </c>
      <c r="J432" s="43">
        <f>Tabla2[[#This Row],[CANTIDAD CARGADAS]]*Tabla2[[#This Row],[COSTOS]]</f>
        <v>300</v>
      </c>
    </row>
    <row r="433" spans="1:10" x14ac:dyDescent="0.25">
      <c r="A433" s="38">
        <v>455</v>
      </c>
      <c r="B433" s="39">
        <v>554180813</v>
      </c>
      <c r="C433" s="51">
        <f t="shared" ca="1" si="6"/>
        <v>44974</v>
      </c>
      <c r="D433" s="39" t="s">
        <v>167</v>
      </c>
      <c r="E433" s="40" t="s">
        <v>458</v>
      </c>
      <c r="F433" s="40">
        <v>2</v>
      </c>
      <c r="G433" s="41">
        <v>100</v>
      </c>
      <c r="H433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33" s="42">
        <v>400</v>
      </c>
      <c r="J433" s="43">
        <f>Tabla2[[#This Row],[CANTIDAD CARGADAS]]*Tabla2[[#This Row],[COSTOS]]</f>
        <v>200</v>
      </c>
    </row>
    <row r="434" spans="1:10" x14ac:dyDescent="0.25">
      <c r="A434" s="38">
        <v>456</v>
      </c>
      <c r="B434" s="39">
        <v>153884776</v>
      </c>
      <c r="C434" s="51">
        <f t="shared" ca="1" si="6"/>
        <v>44974</v>
      </c>
      <c r="D434" s="39" t="s">
        <v>167</v>
      </c>
      <c r="E434" s="40" t="s">
        <v>459</v>
      </c>
      <c r="F434" s="40">
        <v>3</v>
      </c>
      <c r="G434" s="41">
        <v>100</v>
      </c>
      <c r="H434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34" s="42">
        <v>400</v>
      </c>
      <c r="J434" s="43">
        <f>Tabla2[[#This Row],[CANTIDAD CARGADAS]]*Tabla2[[#This Row],[COSTOS]]</f>
        <v>300</v>
      </c>
    </row>
    <row r="435" spans="1:10" ht="14.25" customHeight="1" x14ac:dyDescent="0.25">
      <c r="A435" s="38">
        <v>457</v>
      </c>
      <c r="B435" s="39">
        <v>481288322</v>
      </c>
      <c r="C435" s="51">
        <f t="shared" ca="1" si="6"/>
        <v>44974</v>
      </c>
      <c r="D435" s="39" t="s">
        <v>167</v>
      </c>
      <c r="E435" s="40" t="s">
        <v>460</v>
      </c>
      <c r="F435" s="40">
        <v>2</v>
      </c>
      <c r="G435" s="41">
        <v>100</v>
      </c>
      <c r="H435" s="39">
        <f ca="1"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35" s="42">
        <v>400</v>
      </c>
      <c r="J435" s="43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"/>
  <sheetViews>
    <sheetView zoomScale="87" zoomScaleNormal="87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/>
      <c r="B2" s="11"/>
      <c r="C2" s="5"/>
      <c r="D2" s="5"/>
      <c r="E2" s="8"/>
      <c r="F2" s="20"/>
      <c r="G2" s="33"/>
      <c r="H2" s="33"/>
      <c r="I2" s="8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52"/>
  <sheetViews>
    <sheetView topLeftCell="A142" zoomScale="98" zoomScaleNormal="98" workbookViewId="0">
      <selection activeCell="D161" sqref="D161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43681</v>
      </c>
      <c r="C2" s="5">
        <v>118309194</v>
      </c>
      <c r="D2" s="5" t="s">
        <v>225</v>
      </c>
      <c r="E2" s="5">
        <v>1</v>
      </c>
      <c r="F2" s="5" t="s">
        <v>167</v>
      </c>
      <c r="G2" s="33">
        <v>400</v>
      </c>
      <c r="H2" s="33">
        <v>400</v>
      </c>
      <c r="I2" s="7" t="s">
        <v>18</v>
      </c>
      <c r="K2" t="e">
        <f>SUMIFS(TABLA_CIERRES[CANTIDAD],TABLA_CIERRES[Codigo],TABLA_CIERRES[[#This Row],[Codigo]],Tabla2[[#This Row],[FECHA]],"&lt;="&amp;TABLA_CIERRES[[#This Row],[Fecha]])</f>
        <v>#VALUE!</v>
      </c>
    </row>
    <row r="3" spans="1:11" x14ac:dyDescent="0.25">
      <c r="A3" s="5">
        <v>2</v>
      </c>
      <c r="B3" s="23">
        <v>43682</v>
      </c>
      <c r="C3" s="5">
        <v>25755622</v>
      </c>
      <c r="D3" s="5" t="s">
        <v>226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43683</v>
      </c>
      <c r="C4" s="5">
        <v>581080793</v>
      </c>
      <c r="D4" s="5" t="s">
        <v>189</v>
      </c>
      <c r="E4" s="5">
        <v>1</v>
      </c>
      <c r="F4" s="5" t="s">
        <v>177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43684</v>
      </c>
      <c r="C5" s="5">
        <v>739935611</v>
      </c>
      <c r="D5" s="5" t="s">
        <v>247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43685</v>
      </c>
      <c r="C6" s="5">
        <v>426428617</v>
      </c>
      <c r="D6" s="5" t="s">
        <v>125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43686</v>
      </c>
      <c r="C7" s="5">
        <v>414439563</v>
      </c>
      <c r="D7" s="5" t="s">
        <v>175</v>
      </c>
      <c r="E7" s="5">
        <v>1</v>
      </c>
      <c r="F7" s="5" t="s">
        <v>167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43687</v>
      </c>
      <c r="C8" s="5">
        <v>512752774</v>
      </c>
      <c r="D8" s="5" t="s">
        <v>467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43688</v>
      </c>
      <c r="C9" s="5">
        <v>866100055</v>
      </c>
      <c r="D9" s="5" t="s">
        <v>253</v>
      </c>
      <c r="E9" s="5">
        <v>1</v>
      </c>
      <c r="F9" s="5" t="s">
        <v>167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43689</v>
      </c>
      <c r="C10" s="5">
        <v>20487912</v>
      </c>
      <c r="D10" s="5" t="s">
        <v>198</v>
      </c>
      <c r="E10" s="5">
        <v>2</v>
      </c>
      <c r="F10" s="5" t="s">
        <v>197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43690</v>
      </c>
      <c r="C11" s="5">
        <v>386010829</v>
      </c>
      <c r="D11" s="5" t="s">
        <v>266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43691</v>
      </c>
      <c r="C12" s="5">
        <v>436003537</v>
      </c>
      <c r="D12" s="5" t="s">
        <v>193</v>
      </c>
      <c r="E12" s="5">
        <v>1</v>
      </c>
      <c r="F12" s="5" t="s">
        <v>183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43692</v>
      </c>
      <c r="C13" s="5">
        <v>444260505</v>
      </c>
      <c r="D13" s="5" t="s">
        <v>130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43693</v>
      </c>
      <c r="C14" s="5">
        <v>238104446</v>
      </c>
      <c r="D14" s="5" t="s">
        <v>210</v>
      </c>
      <c r="E14" s="5">
        <v>1</v>
      </c>
      <c r="F14" s="5" t="s">
        <v>205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43694</v>
      </c>
      <c r="C15" s="5">
        <v>713758876</v>
      </c>
      <c r="D15" s="5" t="s">
        <v>267</v>
      </c>
      <c r="E15" s="5">
        <v>3</v>
      </c>
      <c r="F15" s="5" t="s">
        <v>167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43695</v>
      </c>
      <c r="C16" s="5">
        <v>990286544</v>
      </c>
      <c r="D16" s="5" t="s">
        <v>268</v>
      </c>
      <c r="E16" s="5">
        <v>1</v>
      </c>
      <c r="F16" s="5" t="s">
        <v>183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43696</v>
      </c>
      <c r="C17" s="5">
        <v>848817031</v>
      </c>
      <c r="D17" s="5" t="s">
        <v>151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43697</v>
      </c>
      <c r="C18" s="5">
        <v>713758876</v>
      </c>
      <c r="D18" s="5" t="s">
        <v>267</v>
      </c>
      <c r="E18" s="5">
        <v>1</v>
      </c>
      <c r="F18" s="5" t="s">
        <v>167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43698</v>
      </c>
      <c r="C19" s="5">
        <v>660998800</v>
      </c>
      <c r="D19" s="5" t="s">
        <v>191</v>
      </c>
      <c r="E19" s="5">
        <v>1</v>
      </c>
      <c r="F19" s="5" t="s">
        <v>183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43699</v>
      </c>
      <c r="C20" s="5">
        <v>171340858</v>
      </c>
      <c r="D20" s="5" t="s">
        <v>269</v>
      </c>
      <c r="E20" s="5">
        <v>1</v>
      </c>
      <c r="F20" s="5" t="s">
        <v>167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43700</v>
      </c>
      <c r="C21" s="5">
        <v>171340858</v>
      </c>
      <c r="D21" s="5" t="s">
        <v>269</v>
      </c>
      <c r="E21" s="5">
        <v>1</v>
      </c>
      <c r="F21" s="5" t="s">
        <v>167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43701</v>
      </c>
      <c r="C22" s="5">
        <v>181205847</v>
      </c>
      <c r="D22" s="5" t="s">
        <v>90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43702</v>
      </c>
      <c r="C23" s="5">
        <v>660998800</v>
      </c>
      <c r="D23" s="5" t="s">
        <v>191</v>
      </c>
      <c r="E23" s="5">
        <v>1</v>
      </c>
      <c r="F23" s="5" t="s">
        <v>183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43703</v>
      </c>
      <c r="C24" s="5">
        <v>717861777</v>
      </c>
      <c r="D24" s="5" t="s">
        <v>278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43704</v>
      </c>
      <c r="C25" s="5">
        <v>848817032</v>
      </c>
      <c r="D25" s="5" t="s">
        <v>277</v>
      </c>
      <c r="E25" s="5">
        <v>1</v>
      </c>
      <c r="F25" s="5" t="s">
        <v>167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43705</v>
      </c>
      <c r="C26" s="5">
        <v>571937686</v>
      </c>
      <c r="D26" s="5" t="s">
        <v>252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43706</v>
      </c>
      <c r="C27" s="5">
        <v>713758876</v>
      </c>
      <c r="D27" s="5" t="s">
        <v>267</v>
      </c>
      <c r="E27" s="5">
        <v>3</v>
      </c>
      <c r="F27" s="5" t="s">
        <v>167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43707</v>
      </c>
      <c r="C28" s="5">
        <v>86459921</v>
      </c>
      <c r="D28" s="5" t="s">
        <v>271</v>
      </c>
      <c r="E28" s="5">
        <v>2</v>
      </c>
      <c r="F28" s="5" t="s">
        <v>167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43708</v>
      </c>
      <c r="C29" s="5">
        <v>171340858</v>
      </c>
      <c r="D29" s="5" t="s">
        <v>269</v>
      </c>
      <c r="E29" s="5">
        <v>1</v>
      </c>
      <c r="F29" s="5" t="s">
        <v>167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43709</v>
      </c>
      <c r="C30" s="5">
        <v>17729613</v>
      </c>
      <c r="D30" s="5" t="s">
        <v>160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43710</v>
      </c>
      <c r="C31" s="5">
        <v>713758876</v>
      </c>
      <c r="D31" s="5" t="s">
        <v>267</v>
      </c>
      <c r="E31" s="5">
        <v>1</v>
      </c>
      <c r="F31" s="5" t="s">
        <v>167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43711</v>
      </c>
      <c r="C32" s="5">
        <v>896426105</v>
      </c>
      <c r="D32" s="5" t="s">
        <v>299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43712</v>
      </c>
      <c r="C33" s="5">
        <v>389489993</v>
      </c>
      <c r="D33" s="5" t="s">
        <v>110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43713</v>
      </c>
      <c r="C34" s="5">
        <v>713758876</v>
      </c>
      <c r="D34" s="5" t="s">
        <v>267</v>
      </c>
      <c r="E34" s="5">
        <v>1</v>
      </c>
      <c r="F34" s="5" t="s">
        <v>167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43714</v>
      </c>
      <c r="C35" s="5">
        <v>255526788</v>
      </c>
      <c r="D35" s="5" t="s">
        <v>304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43715</v>
      </c>
      <c r="C36" s="5">
        <v>171340858</v>
      </c>
      <c r="D36" s="5" t="s">
        <v>269</v>
      </c>
      <c r="E36" s="5">
        <v>1</v>
      </c>
      <c r="F36" s="5" t="s">
        <v>167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43716</v>
      </c>
      <c r="C37" s="5">
        <v>848817032</v>
      </c>
      <c r="D37" s="5" t="s">
        <v>277</v>
      </c>
      <c r="E37" s="5">
        <v>1</v>
      </c>
      <c r="F37" s="5" t="s">
        <v>167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43717</v>
      </c>
      <c r="C38" s="5">
        <v>86459922</v>
      </c>
      <c r="D38" s="5" t="s">
        <v>273</v>
      </c>
      <c r="E38" s="5">
        <v>1</v>
      </c>
      <c r="F38" s="5" t="s">
        <v>167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43718</v>
      </c>
      <c r="C39" s="5">
        <v>137449578</v>
      </c>
      <c r="D39" s="5" t="s">
        <v>202</v>
      </c>
      <c r="E39" s="5">
        <v>1</v>
      </c>
      <c r="F39" s="5" t="s">
        <v>205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43719</v>
      </c>
      <c r="C40" s="5">
        <v>20487913</v>
      </c>
      <c r="D40" s="5" t="s">
        <v>211</v>
      </c>
      <c r="E40" s="5">
        <v>1</v>
      </c>
      <c r="F40" s="5" t="s">
        <v>205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43720</v>
      </c>
      <c r="C41" s="5">
        <v>107822099</v>
      </c>
      <c r="D41" s="5" t="s">
        <v>180</v>
      </c>
      <c r="E41" s="5">
        <v>1</v>
      </c>
      <c r="F41" s="5" t="s">
        <v>177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43721</v>
      </c>
      <c r="C42" s="5">
        <v>713758876</v>
      </c>
      <c r="D42" s="5" t="s">
        <v>267</v>
      </c>
      <c r="E42" s="5">
        <v>1</v>
      </c>
      <c r="F42" s="5" t="s">
        <v>167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43722</v>
      </c>
      <c r="C43" s="5">
        <v>879624235</v>
      </c>
      <c r="D43" s="5" t="s">
        <v>124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43723</v>
      </c>
      <c r="C44" s="5">
        <v>107822099</v>
      </c>
      <c r="D44" s="5" t="s">
        <v>180</v>
      </c>
      <c r="E44" s="5">
        <v>1</v>
      </c>
      <c r="F44" s="5" t="s">
        <v>177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43724</v>
      </c>
      <c r="C45" s="5">
        <v>269600458</v>
      </c>
      <c r="D45" s="5" t="s">
        <v>188</v>
      </c>
      <c r="E45" s="5">
        <v>1</v>
      </c>
      <c r="F45" s="5" t="s">
        <v>177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43725</v>
      </c>
      <c r="C46" s="5">
        <v>955450661</v>
      </c>
      <c r="D46" s="5" t="s">
        <v>319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43726</v>
      </c>
      <c r="C47" s="5">
        <v>713758876</v>
      </c>
      <c r="D47" s="5" t="s">
        <v>267</v>
      </c>
      <c r="E47" s="5">
        <v>1</v>
      </c>
      <c r="F47" s="5" t="s">
        <v>167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43727</v>
      </c>
      <c r="C48" s="5">
        <v>436003538</v>
      </c>
      <c r="D48" s="5" t="s">
        <v>152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43728</v>
      </c>
      <c r="C49" s="5">
        <v>713758876</v>
      </c>
      <c r="D49" s="5" t="s">
        <v>267</v>
      </c>
      <c r="E49" s="5">
        <v>1</v>
      </c>
      <c r="F49" s="5" t="s">
        <v>167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43729</v>
      </c>
      <c r="C50" s="5">
        <v>386010829</v>
      </c>
      <c r="D50" s="5" t="s">
        <v>266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43730</v>
      </c>
      <c r="C51" s="5">
        <v>848817032</v>
      </c>
      <c r="D51" s="5" t="s">
        <v>277</v>
      </c>
      <c r="E51" s="5">
        <v>1</v>
      </c>
      <c r="F51" s="5" t="s">
        <v>167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43731</v>
      </c>
      <c r="C52" s="5">
        <v>355087917</v>
      </c>
      <c r="D52" s="5" t="s">
        <v>173</v>
      </c>
      <c r="E52" s="5">
        <v>1</v>
      </c>
      <c r="F52" s="5" t="s">
        <v>167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43732</v>
      </c>
      <c r="C53" s="5">
        <v>660998800</v>
      </c>
      <c r="D53" s="5" t="s">
        <v>191</v>
      </c>
      <c r="E53" s="5">
        <v>1</v>
      </c>
      <c r="F53" s="5" t="s">
        <v>183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43733</v>
      </c>
      <c r="C54" s="5">
        <v>866100056</v>
      </c>
      <c r="D54" s="5" t="s">
        <v>276</v>
      </c>
      <c r="E54" s="5">
        <v>1</v>
      </c>
      <c r="F54" s="5" t="s">
        <v>167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43734</v>
      </c>
      <c r="C55" s="5">
        <v>990286544</v>
      </c>
      <c r="D55" s="5" t="s">
        <v>268</v>
      </c>
      <c r="E55" s="5">
        <v>1</v>
      </c>
      <c r="F55" s="5" t="s">
        <v>183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43735</v>
      </c>
      <c r="C56" s="5">
        <v>357534850</v>
      </c>
      <c r="D56" s="5" t="s">
        <v>229</v>
      </c>
      <c r="E56" s="5">
        <v>1</v>
      </c>
      <c r="F56" s="5" t="s">
        <v>177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43736</v>
      </c>
      <c r="C57" s="5">
        <v>171340858</v>
      </c>
      <c r="D57" s="5" t="s">
        <v>269</v>
      </c>
      <c r="E57" s="5">
        <v>1</v>
      </c>
      <c r="F57" s="5" t="s">
        <v>167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43737</v>
      </c>
      <c r="C58" s="5">
        <v>694427908</v>
      </c>
      <c r="D58" s="5" t="s">
        <v>314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43738</v>
      </c>
      <c r="C59" s="5">
        <v>221305885</v>
      </c>
      <c r="D59" s="5" t="s">
        <v>284</v>
      </c>
      <c r="E59" s="5">
        <v>1</v>
      </c>
      <c r="F59" s="5" t="s">
        <v>167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43739</v>
      </c>
      <c r="C60" s="5">
        <v>713758876</v>
      </c>
      <c r="D60" s="5" t="s">
        <v>267</v>
      </c>
      <c r="E60" s="5">
        <v>1</v>
      </c>
      <c r="F60" s="5" t="s">
        <v>167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43740</v>
      </c>
      <c r="C61" s="5">
        <v>355087917</v>
      </c>
      <c r="D61" s="5" t="s">
        <v>173</v>
      </c>
      <c r="E61" s="5">
        <v>1</v>
      </c>
      <c r="F61" s="5" t="s">
        <v>167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43741</v>
      </c>
      <c r="C62" s="5">
        <v>78903658</v>
      </c>
      <c r="D62" s="5" t="s">
        <v>178</v>
      </c>
      <c r="E62" s="5">
        <v>1</v>
      </c>
      <c r="F62" s="5" t="s">
        <v>177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43742</v>
      </c>
      <c r="C63" s="5">
        <v>840623079</v>
      </c>
      <c r="D63" s="5" t="s">
        <v>312</v>
      </c>
      <c r="E63" s="5">
        <v>1</v>
      </c>
      <c r="F63" s="5" t="s">
        <v>183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43743</v>
      </c>
      <c r="C64" s="5">
        <v>660998800</v>
      </c>
      <c r="D64" s="5" t="s">
        <v>191</v>
      </c>
      <c r="E64" s="5">
        <v>1</v>
      </c>
      <c r="F64" s="5" t="s">
        <v>183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43744</v>
      </c>
      <c r="C65" s="5">
        <v>768889346</v>
      </c>
      <c r="D65" s="5" t="s">
        <v>46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43745</v>
      </c>
      <c r="C66" s="5">
        <v>414439563</v>
      </c>
      <c r="D66" s="5" t="s">
        <v>175</v>
      </c>
      <c r="E66" s="5">
        <v>1</v>
      </c>
      <c r="F66" s="5" t="s">
        <v>167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43746</v>
      </c>
      <c r="C67" s="5">
        <v>466307989</v>
      </c>
      <c r="D67" s="5" t="s">
        <v>333</v>
      </c>
      <c r="E67" s="5">
        <v>1</v>
      </c>
      <c r="F67" s="5" t="s">
        <v>177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43747</v>
      </c>
      <c r="C68" s="5">
        <v>842658325</v>
      </c>
      <c r="D68" s="5" t="s">
        <v>230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43748</v>
      </c>
      <c r="C69" s="5">
        <v>826857389</v>
      </c>
      <c r="D69" s="5" t="s">
        <v>142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43749</v>
      </c>
      <c r="C70" s="5">
        <v>990286543</v>
      </c>
      <c r="D70" s="5" t="s">
        <v>270</v>
      </c>
      <c r="E70" s="5">
        <v>1</v>
      </c>
      <c r="F70" s="5" t="s">
        <v>167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43750</v>
      </c>
      <c r="C71" s="5">
        <v>925758780</v>
      </c>
      <c r="D71" s="5" t="s">
        <v>263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43751</v>
      </c>
      <c r="C72" s="5">
        <v>86459922</v>
      </c>
      <c r="D72" s="5" t="s">
        <v>273</v>
      </c>
      <c r="E72" s="5">
        <v>1</v>
      </c>
      <c r="F72" s="5" t="s">
        <v>167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43752</v>
      </c>
      <c r="C73" s="5">
        <v>107822099</v>
      </c>
      <c r="D73" s="5" t="s">
        <v>180</v>
      </c>
      <c r="E73" s="5">
        <v>1</v>
      </c>
      <c r="F73" s="5" t="s">
        <v>177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43753</v>
      </c>
      <c r="C74" s="5">
        <v>86459921</v>
      </c>
      <c r="D74" s="5" t="s">
        <v>271</v>
      </c>
      <c r="E74" s="5">
        <v>1</v>
      </c>
      <c r="F74" s="5" t="s">
        <v>167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43754</v>
      </c>
      <c r="C75" s="5">
        <v>86459922</v>
      </c>
      <c r="D75" s="5" t="s">
        <v>273</v>
      </c>
      <c r="E75" s="5">
        <v>1</v>
      </c>
      <c r="F75" s="5" t="s">
        <v>167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43755</v>
      </c>
      <c r="C76" s="5">
        <v>713758876</v>
      </c>
      <c r="D76" s="5" t="s">
        <v>267</v>
      </c>
      <c r="E76" s="5">
        <v>1</v>
      </c>
      <c r="F76" s="5" t="s">
        <v>167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43756</v>
      </c>
      <c r="C77" s="5">
        <v>357534850</v>
      </c>
      <c r="D77" s="5" t="s">
        <v>229</v>
      </c>
      <c r="E77" s="5">
        <v>1</v>
      </c>
      <c r="F77" s="5" t="s">
        <v>177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43757</v>
      </c>
      <c r="C78" s="5">
        <v>171471790</v>
      </c>
      <c r="D78" s="5" t="s">
        <v>272</v>
      </c>
      <c r="E78" s="5">
        <v>1</v>
      </c>
      <c r="F78" s="5" t="s">
        <v>167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43758</v>
      </c>
      <c r="C79" s="5">
        <v>20487912</v>
      </c>
      <c r="D79" s="5" t="s">
        <v>198</v>
      </c>
      <c r="E79" s="5">
        <v>1</v>
      </c>
      <c r="F79" s="5" t="s">
        <v>197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43759</v>
      </c>
      <c r="C80" s="5">
        <v>171471789</v>
      </c>
      <c r="D80" s="5" t="s">
        <v>185</v>
      </c>
      <c r="E80" s="5">
        <v>1</v>
      </c>
      <c r="F80" s="5" t="s">
        <v>177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43760</v>
      </c>
      <c r="C81" s="5">
        <v>211494658</v>
      </c>
      <c r="D81" s="5" t="s">
        <v>414</v>
      </c>
      <c r="E81" s="5">
        <v>1</v>
      </c>
      <c r="F81" s="5" t="s">
        <v>205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43761</v>
      </c>
      <c r="C82" s="5">
        <v>866100056</v>
      </c>
      <c r="D82" s="5" t="s">
        <v>276</v>
      </c>
      <c r="E82" s="5">
        <v>1</v>
      </c>
      <c r="F82" s="5" t="s">
        <v>167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43762</v>
      </c>
      <c r="C83" s="5">
        <v>828831463</v>
      </c>
      <c r="D83" s="5" t="s">
        <v>208</v>
      </c>
      <c r="E83" s="5">
        <v>1</v>
      </c>
      <c r="F83" s="5" t="s">
        <v>205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43763</v>
      </c>
      <c r="C84" s="5">
        <v>460651877</v>
      </c>
      <c r="D84" s="5" t="s">
        <v>182</v>
      </c>
      <c r="E84" s="5">
        <v>1</v>
      </c>
      <c r="F84" s="5" t="s">
        <v>177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43764</v>
      </c>
      <c r="C85" s="5">
        <v>302465250</v>
      </c>
      <c r="D85" s="5" t="s">
        <v>28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43765</v>
      </c>
      <c r="C86" s="5">
        <v>318289721</v>
      </c>
      <c r="D86" s="5" t="s">
        <v>254</v>
      </c>
      <c r="E86" s="5">
        <v>1</v>
      </c>
      <c r="F86" s="5" t="s">
        <v>167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43766</v>
      </c>
      <c r="C87" s="5">
        <v>848817032</v>
      </c>
      <c r="D87" s="5" t="s">
        <v>277</v>
      </c>
      <c r="E87" s="5">
        <v>1</v>
      </c>
      <c r="F87" s="5" t="s">
        <v>167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43767</v>
      </c>
      <c r="C88" s="5">
        <v>86459921</v>
      </c>
      <c r="D88" s="5" t="s">
        <v>271</v>
      </c>
      <c r="E88" s="5">
        <v>1</v>
      </c>
      <c r="F88" s="5" t="s">
        <v>167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43768</v>
      </c>
      <c r="C89" s="5">
        <v>828831464</v>
      </c>
      <c r="D89" s="5" t="s">
        <v>280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43769</v>
      </c>
      <c r="C90" s="5">
        <v>86459921</v>
      </c>
      <c r="D90" s="5" t="s">
        <v>271</v>
      </c>
      <c r="E90" s="5">
        <v>1</v>
      </c>
      <c r="F90" s="5" t="s">
        <v>167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43770</v>
      </c>
      <c r="C91" s="5">
        <v>194667494</v>
      </c>
      <c r="D91" s="5" t="s">
        <v>248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43771</v>
      </c>
      <c r="C92" s="5">
        <v>171471789</v>
      </c>
      <c r="D92" s="5" t="s">
        <v>185</v>
      </c>
      <c r="E92" s="5">
        <v>1</v>
      </c>
      <c r="F92" s="5" t="s">
        <v>177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43772</v>
      </c>
      <c r="C93" s="5">
        <v>713758876</v>
      </c>
      <c r="D93" s="5" t="s">
        <v>267</v>
      </c>
      <c r="E93" s="5">
        <v>1</v>
      </c>
      <c r="F93" s="5" t="s">
        <v>167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43773</v>
      </c>
      <c r="C94" s="5">
        <v>86459921</v>
      </c>
      <c r="D94" s="5" t="s">
        <v>271</v>
      </c>
      <c r="E94" s="5">
        <v>1</v>
      </c>
      <c r="F94" s="5" t="s">
        <v>167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43774</v>
      </c>
      <c r="C95" s="5">
        <v>78903658</v>
      </c>
      <c r="D95" s="5" t="s">
        <v>178</v>
      </c>
      <c r="E95" s="5">
        <v>1</v>
      </c>
      <c r="F95" s="5" t="s">
        <v>177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43775</v>
      </c>
      <c r="C96" s="5">
        <v>357534850</v>
      </c>
      <c r="D96" s="5" t="s">
        <v>229</v>
      </c>
      <c r="E96" s="5">
        <v>1</v>
      </c>
      <c r="F96" s="5" t="s">
        <v>177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43776</v>
      </c>
      <c r="C97" s="5">
        <v>357534850</v>
      </c>
      <c r="D97" s="5" t="s">
        <v>229</v>
      </c>
      <c r="E97" s="5">
        <v>1</v>
      </c>
      <c r="F97" s="5" t="s">
        <v>177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43777</v>
      </c>
      <c r="C98" s="5">
        <v>660998802</v>
      </c>
      <c r="D98" s="5" t="s">
        <v>462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43778</v>
      </c>
      <c r="C99" s="5">
        <v>833221323</v>
      </c>
      <c r="D99" s="5" t="s">
        <v>249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43779</v>
      </c>
      <c r="C100" s="5">
        <v>357534850</v>
      </c>
      <c r="D100" s="5" t="s">
        <v>229</v>
      </c>
      <c r="E100" s="5">
        <v>1</v>
      </c>
      <c r="F100" s="5" t="s">
        <v>177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43780</v>
      </c>
      <c r="C101" s="5">
        <v>171340858</v>
      </c>
      <c r="D101" s="5" t="s">
        <v>269</v>
      </c>
      <c r="E101" s="5">
        <v>1</v>
      </c>
      <c r="F101" s="5" t="s">
        <v>167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43781</v>
      </c>
      <c r="C102" s="5">
        <v>713758876</v>
      </c>
      <c r="D102" s="5" t="s">
        <v>267</v>
      </c>
      <c r="E102" s="5">
        <v>1</v>
      </c>
      <c r="F102" s="5" t="s">
        <v>167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43782</v>
      </c>
      <c r="C103" s="5">
        <v>722483455</v>
      </c>
      <c r="D103" s="5" t="s">
        <v>153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43783</v>
      </c>
      <c r="C104" s="5">
        <v>357534850</v>
      </c>
      <c r="D104" s="5" t="s">
        <v>229</v>
      </c>
      <c r="E104" s="5">
        <v>1</v>
      </c>
      <c r="F104" s="5" t="s">
        <v>177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43784</v>
      </c>
      <c r="C105" s="5">
        <v>466307989</v>
      </c>
      <c r="D105" s="5" t="s">
        <v>333</v>
      </c>
      <c r="E105" s="5">
        <v>1</v>
      </c>
      <c r="F105" s="5" t="s">
        <v>177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43785</v>
      </c>
      <c r="C106" s="5">
        <v>966274724</v>
      </c>
      <c r="D106" s="5" t="s">
        <v>302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43786</v>
      </c>
      <c r="C107" s="5">
        <v>107822099</v>
      </c>
      <c r="D107" s="5" t="s">
        <v>180</v>
      </c>
      <c r="E107" s="5">
        <v>1</v>
      </c>
      <c r="F107" s="5" t="s">
        <v>177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43787</v>
      </c>
      <c r="C108" s="5">
        <v>990286544</v>
      </c>
      <c r="D108" s="5" t="s">
        <v>461</v>
      </c>
      <c r="E108" s="5">
        <v>1</v>
      </c>
      <c r="F108" s="5" t="s">
        <v>183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43788</v>
      </c>
      <c r="C109" s="5">
        <v>78903658</v>
      </c>
      <c r="D109" s="5" t="s">
        <v>178</v>
      </c>
      <c r="E109" s="5">
        <v>1</v>
      </c>
      <c r="F109" s="5" t="s">
        <v>177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43789</v>
      </c>
      <c r="C110" s="5">
        <v>154326100</v>
      </c>
      <c r="D110" s="5" t="s">
        <v>194</v>
      </c>
      <c r="E110" s="5">
        <v>1</v>
      </c>
      <c r="F110" s="5" t="s">
        <v>183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43790</v>
      </c>
      <c r="C111" s="5">
        <v>118309195</v>
      </c>
      <c r="D111" s="5" t="s">
        <v>293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43791</v>
      </c>
      <c r="C112" s="5">
        <v>357534850</v>
      </c>
      <c r="D112" s="5" t="s">
        <v>229</v>
      </c>
      <c r="E112" s="5">
        <v>1</v>
      </c>
      <c r="F112" s="5" t="s">
        <v>177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43792</v>
      </c>
      <c r="C113" s="5">
        <v>47274029</v>
      </c>
      <c r="D113" s="5" t="s">
        <v>206</v>
      </c>
      <c r="E113" s="5">
        <v>1</v>
      </c>
      <c r="F113" s="5" t="s">
        <v>167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43793</v>
      </c>
      <c r="C114" s="5">
        <v>133540647</v>
      </c>
      <c r="D114" s="5" t="s">
        <v>192</v>
      </c>
      <c r="E114" s="5">
        <v>1</v>
      </c>
      <c r="F114" s="5" t="s">
        <v>183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43794</v>
      </c>
      <c r="C115" s="5">
        <v>833221322</v>
      </c>
      <c r="D115" s="5" t="s">
        <v>126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43795</v>
      </c>
      <c r="C116" s="5">
        <v>713758876</v>
      </c>
      <c r="D116" s="5" t="s">
        <v>267</v>
      </c>
      <c r="E116" s="5">
        <v>1</v>
      </c>
      <c r="F116" s="5" t="s">
        <v>167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43796</v>
      </c>
      <c r="C117" s="5">
        <v>713758876</v>
      </c>
      <c r="D117" s="5" t="s">
        <v>267</v>
      </c>
      <c r="E117" s="5">
        <v>1</v>
      </c>
      <c r="F117" s="5" t="s">
        <v>167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43797</v>
      </c>
      <c r="C118" s="5">
        <v>848817032</v>
      </c>
      <c r="D118" s="5" t="s">
        <v>277</v>
      </c>
      <c r="E118" s="5">
        <v>1</v>
      </c>
      <c r="F118" s="5" t="s">
        <v>167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43798</v>
      </c>
      <c r="C119" s="5">
        <v>784907562</v>
      </c>
      <c r="D119" s="5" t="s">
        <v>260</v>
      </c>
      <c r="E119" s="5">
        <v>1</v>
      </c>
      <c r="F119" s="5" t="s">
        <v>167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43799</v>
      </c>
      <c r="C120" s="5">
        <v>171471790</v>
      </c>
      <c r="D120" s="5" t="s">
        <v>272</v>
      </c>
      <c r="E120" s="5">
        <v>1</v>
      </c>
      <c r="F120" s="5" t="s">
        <v>167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43800</v>
      </c>
      <c r="C121" s="5">
        <v>660998800</v>
      </c>
      <c r="D121" s="5" t="s">
        <v>191</v>
      </c>
      <c r="E121" s="5">
        <v>1</v>
      </c>
      <c r="F121" s="5" t="s">
        <v>183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43801</v>
      </c>
      <c r="C122" s="5">
        <v>466307989</v>
      </c>
      <c r="D122" s="5" t="s">
        <v>333</v>
      </c>
      <c r="E122" s="5">
        <v>1</v>
      </c>
      <c r="F122" s="5" t="s">
        <v>177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43802</v>
      </c>
      <c r="C123" s="5">
        <v>861192764</v>
      </c>
      <c r="D123" s="5" t="s">
        <v>265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43803</v>
      </c>
      <c r="C124" s="5">
        <v>866100056</v>
      </c>
      <c r="D124" s="5" t="s">
        <v>276</v>
      </c>
      <c r="E124" s="5">
        <v>1</v>
      </c>
      <c r="F124" s="5" t="s">
        <v>167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43804</v>
      </c>
      <c r="C125" s="5">
        <v>374659860</v>
      </c>
      <c r="D125" s="5" t="s">
        <v>330</v>
      </c>
      <c r="E125" s="5">
        <v>1</v>
      </c>
      <c r="F125" s="5" t="s">
        <v>167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43805</v>
      </c>
      <c r="C126" s="5">
        <v>171340858</v>
      </c>
      <c r="D126" s="5" t="s">
        <v>269</v>
      </c>
      <c r="E126" s="5">
        <v>1</v>
      </c>
      <c r="F126" s="5" t="s">
        <v>167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43806</v>
      </c>
      <c r="C127" s="5">
        <v>412771600</v>
      </c>
      <c r="D127" s="5" t="s">
        <v>369</v>
      </c>
      <c r="E127" s="5">
        <v>1</v>
      </c>
      <c r="F127" s="5" t="s">
        <v>167</v>
      </c>
      <c r="G127" s="33">
        <v>400</v>
      </c>
      <c r="H127" s="33">
        <v>400</v>
      </c>
      <c r="I127" s="7" t="s">
        <v>18</v>
      </c>
    </row>
    <row r="128" spans="1:9" x14ac:dyDescent="0.25">
      <c r="A128" s="5">
        <v>1</v>
      </c>
      <c r="B128" s="23">
        <v>43807</v>
      </c>
      <c r="C128" s="5">
        <v>713758876</v>
      </c>
      <c r="D128" s="5" t="s">
        <v>267</v>
      </c>
      <c r="E128" s="5">
        <v>1</v>
      </c>
      <c r="F128" s="5" t="s">
        <v>167</v>
      </c>
      <c r="G128" s="33">
        <v>400</v>
      </c>
      <c r="H128" s="33">
        <v>400</v>
      </c>
      <c r="I128" s="7" t="s">
        <v>18</v>
      </c>
    </row>
    <row r="129" spans="1:9" x14ac:dyDescent="0.25">
      <c r="A129" s="5">
        <v>2</v>
      </c>
      <c r="B129" s="23">
        <v>43808</v>
      </c>
      <c r="C129" s="5">
        <v>200260895</v>
      </c>
      <c r="D129" s="5" t="s">
        <v>466</v>
      </c>
      <c r="E129" s="5">
        <v>1</v>
      </c>
      <c r="F129" s="5" t="s">
        <v>26</v>
      </c>
      <c r="G129" s="33">
        <v>1400</v>
      </c>
      <c r="H129" s="33">
        <v>1400</v>
      </c>
      <c r="I129" s="7" t="s">
        <v>24</v>
      </c>
    </row>
    <row r="130" spans="1:9" x14ac:dyDescent="0.25">
      <c r="A130" s="5">
        <v>3</v>
      </c>
      <c r="B130" s="23">
        <v>43809</v>
      </c>
      <c r="C130" s="5">
        <v>682246906</v>
      </c>
      <c r="D130" s="5" t="s">
        <v>334</v>
      </c>
      <c r="E130" s="5">
        <v>1</v>
      </c>
      <c r="F130" s="5" t="s">
        <v>177</v>
      </c>
      <c r="G130" s="33">
        <v>2000</v>
      </c>
      <c r="H130" s="33">
        <v>2000</v>
      </c>
      <c r="I130" s="7" t="s">
        <v>18</v>
      </c>
    </row>
    <row r="131" spans="1:9" x14ac:dyDescent="0.25">
      <c r="A131" s="5">
        <v>4</v>
      </c>
      <c r="B131" s="23">
        <v>43810</v>
      </c>
      <c r="C131" s="5">
        <v>107822099</v>
      </c>
      <c r="D131" s="5" t="s">
        <v>180</v>
      </c>
      <c r="E131" s="5">
        <v>1</v>
      </c>
      <c r="F131" s="5" t="s">
        <v>177</v>
      </c>
      <c r="G131" s="33">
        <v>2000</v>
      </c>
      <c r="H131" s="33">
        <v>2000</v>
      </c>
      <c r="I131" s="7" t="s">
        <v>18</v>
      </c>
    </row>
    <row r="132" spans="1:9" x14ac:dyDescent="0.25">
      <c r="A132" s="5">
        <v>5</v>
      </c>
      <c r="B132" s="23">
        <v>43811</v>
      </c>
      <c r="C132" s="5">
        <v>171471790</v>
      </c>
      <c r="D132" s="5" t="s">
        <v>272</v>
      </c>
      <c r="E132" s="5">
        <v>1</v>
      </c>
      <c r="F132" s="5" t="s">
        <v>167</v>
      </c>
      <c r="G132" s="33">
        <v>400</v>
      </c>
      <c r="H132" s="33">
        <v>400</v>
      </c>
      <c r="I132" s="7" t="s">
        <v>18</v>
      </c>
    </row>
    <row r="133" spans="1:9" x14ac:dyDescent="0.25">
      <c r="A133" s="5">
        <v>6</v>
      </c>
      <c r="B133" s="23">
        <v>43812</v>
      </c>
      <c r="C133" s="5">
        <v>107822099</v>
      </c>
      <c r="D133" s="5" t="s">
        <v>180</v>
      </c>
      <c r="E133" s="5">
        <v>1</v>
      </c>
      <c r="F133" s="5" t="s">
        <v>177</v>
      </c>
      <c r="G133" s="33">
        <v>2000</v>
      </c>
      <c r="H133" s="33">
        <v>2000</v>
      </c>
      <c r="I133" s="7" t="s">
        <v>18</v>
      </c>
    </row>
    <row r="134" spans="1:9" x14ac:dyDescent="0.25">
      <c r="A134" s="5">
        <v>7</v>
      </c>
      <c r="B134" s="23">
        <v>43813</v>
      </c>
      <c r="C134" s="5">
        <v>133540647</v>
      </c>
      <c r="D134" s="5" t="s">
        <v>192</v>
      </c>
      <c r="E134" s="5">
        <v>1</v>
      </c>
      <c r="F134" s="5" t="s">
        <v>183</v>
      </c>
      <c r="G134" s="33">
        <v>900</v>
      </c>
      <c r="H134" s="33">
        <v>900</v>
      </c>
      <c r="I134" s="7" t="s">
        <v>18</v>
      </c>
    </row>
    <row r="135" spans="1:9" x14ac:dyDescent="0.25">
      <c r="A135" s="5">
        <v>8</v>
      </c>
      <c r="B135" s="23">
        <v>43814</v>
      </c>
      <c r="C135" s="5">
        <v>86459921</v>
      </c>
      <c r="D135" s="5" t="s">
        <v>271</v>
      </c>
      <c r="E135" s="5">
        <v>1</v>
      </c>
      <c r="F135" s="5" t="s">
        <v>167</v>
      </c>
      <c r="G135" s="33">
        <v>400</v>
      </c>
      <c r="H135" s="33">
        <v>400</v>
      </c>
      <c r="I135" s="7" t="s">
        <v>18</v>
      </c>
    </row>
    <row r="136" spans="1:9" x14ac:dyDescent="0.25">
      <c r="A136" s="5">
        <v>9</v>
      </c>
      <c r="B136" s="23">
        <v>43815</v>
      </c>
      <c r="C136" s="5">
        <v>554180811</v>
      </c>
      <c r="D136" s="5" t="s">
        <v>144</v>
      </c>
      <c r="E136" s="5">
        <v>1</v>
      </c>
      <c r="F136" s="5" t="s">
        <v>26</v>
      </c>
      <c r="G136" s="33">
        <v>600</v>
      </c>
      <c r="H136" s="33">
        <v>600</v>
      </c>
      <c r="I136" s="7" t="s">
        <v>18</v>
      </c>
    </row>
    <row r="137" spans="1:9" x14ac:dyDescent="0.25">
      <c r="A137" s="5">
        <v>10</v>
      </c>
      <c r="B137" s="23">
        <v>43816</v>
      </c>
      <c r="C137" s="5">
        <v>722483455</v>
      </c>
      <c r="D137" s="5" t="s">
        <v>153</v>
      </c>
      <c r="E137" s="5">
        <v>1</v>
      </c>
      <c r="F137" s="5" t="s">
        <v>26</v>
      </c>
      <c r="G137" s="33">
        <v>1000</v>
      </c>
      <c r="H137" s="33">
        <v>1000</v>
      </c>
      <c r="I137" s="7" t="s">
        <v>18</v>
      </c>
    </row>
    <row r="138" spans="1:9" x14ac:dyDescent="0.25">
      <c r="A138" s="5">
        <v>11</v>
      </c>
      <c r="B138" s="23">
        <v>43817</v>
      </c>
      <c r="C138" s="5">
        <v>137019705</v>
      </c>
      <c r="D138" s="5" t="s">
        <v>60</v>
      </c>
      <c r="E138" s="5">
        <v>1</v>
      </c>
      <c r="F138" s="5" t="s">
        <v>26</v>
      </c>
      <c r="G138" s="33">
        <v>1000</v>
      </c>
      <c r="H138" s="33">
        <v>1000</v>
      </c>
      <c r="I138" s="7" t="s">
        <v>18</v>
      </c>
    </row>
    <row r="139" spans="1:9" x14ac:dyDescent="0.25">
      <c r="A139" s="5">
        <v>12</v>
      </c>
      <c r="B139" s="23">
        <v>43818</v>
      </c>
      <c r="C139" s="5">
        <v>722483455</v>
      </c>
      <c r="D139" s="5" t="s">
        <v>153</v>
      </c>
      <c r="E139" s="5">
        <v>1</v>
      </c>
      <c r="F139" s="5" t="s">
        <v>26</v>
      </c>
      <c r="G139" s="33">
        <v>1000</v>
      </c>
      <c r="H139" s="33">
        <v>1000</v>
      </c>
      <c r="I139" s="7" t="s">
        <v>18</v>
      </c>
    </row>
    <row r="140" spans="1:9" x14ac:dyDescent="0.25">
      <c r="A140" s="5">
        <v>13</v>
      </c>
      <c r="B140" s="23">
        <v>43819</v>
      </c>
      <c r="C140" s="5">
        <v>713758876</v>
      </c>
      <c r="D140" s="5" t="s">
        <v>267</v>
      </c>
      <c r="E140" s="5">
        <v>1</v>
      </c>
      <c r="F140" s="5" t="s">
        <v>167</v>
      </c>
      <c r="G140" s="33">
        <v>400</v>
      </c>
      <c r="H140" s="33">
        <v>400</v>
      </c>
      <c r="I140" s="7" t="s">
        <v>18</v>
      </c>
    </row>
    <row r="141" spans="1:9" x14ac:dyDescent="0.25">
      <c r="A141" s="5">
        <v>14</v>
      </c>
      <c r="B141" s="23">
        <v>43820</v>
      </c>
      <c r="C141" s="5">
        <v>86459921</v>
      </c>
      <c r="D141" s="5" t="s">
        <v>271</v>
      </c>
      <c r="E141" s="5">
        <v>1</v>
      </c>
      <c r="F141" s="5" t="s">
        <v>167</v>
      </c>
      <c r="G141" s="33">
        <v>400</v>
      </c>
      <c r="H141" s="33">
        <v>400</v>
      </c>
      <c r="I141" s="7" t="s">
        <v>18</v>
      </c>
    </row>
    <row r="142" spans="1:9" x14ac:dyDescent="0.25">
      <c r="A142" s="5">
        <v>15</v>
      </c>
      <c r="B142" s="23">
        <v>43821</v>
      </c>
      <c r="C142" s="5">
        <v>659890160</v>
      </c>
      <c r="D142" s="5" t="s">
        <v>311</v>
      </c>
      <c r="E142" s="5">
        <v>1</v>
      </c>
      <c r="F142" s="5" t="s">
        <v>26</v>
      </c>
      <c r="G142" s="33">
        <v>1000</v>
      </c>
      <c r="H142" s="33">
        <v>1000</v>
      </c>
      <c r="I142" s="7" t="s">
        <v>18</v>
      </c>
    </row>
    <row r="143" spans="1:9" x14ac:dyDescent="0.25">
      <c r="A143" s="5">
        <v>16</v>
      </c>
      <c r="B143" s="23">
        <v>43822</v>
      </c>
      <c r="C143" s="5">
        <v>682246906</v>
      </c>
      <c r="D143" s="5" t="s">
        <v>334</v>
      </c>
      <c r="E143" s="5">
        <v>1</v>
      </c>
      <c r="F143" s="5" t="s">
        <v>177</v>
      </c>
      <c r="G143" s="33">
        <v>2000</v>
      </c>
      <c r="H143" s="33">
        <v>2000</v>
      </c>
      <c r="I143" s="7" t="s">
        <v>18</v>
      </c>
    </row>
    <row r="144" spans="1:9" x14ac:dyDescent="0.25">
      <c r="A144" s="5">
        <v>17</v>
      </c>
      <c r="B144" s="23">
        <v>43823</v>
      </c>
      <c r="C144" s="5">
        <v>107822099</v>
      </c>
      <c r="D144" s="5" t="s">
        <v>180</v>
      </c>
      <c r="E144" s="5">
        <v>1</v>
      </c>
      <c r="F144" s="5" t="s">
        <v>177</v>
      </c>
      <c r="G144" s="33">
        <v>2000</v>
      </c>
      <c r="H144" s="33">
        <v>2000</v>
      </c>
      <c r="I144" s="7" t="s">
        <v>23</v>
      </c>
    </row>
    <row r="145" spans="1:9" x14ac:dyDescent="0.25">
      <c r="A145" s="5">
        <v>18</v>
      </c>
      <c r="B145" s="23">
        <v>43824</v>
      </c>
      <c r="C145" s="5">
        <v>107822099</v>
      </c>
      <c r="D145" s="5" t="s">
        <v>180</v>
      </c>
      <c r="E145" s="5">
        <v>1</v>
      </c>
      <c r="F145" s="5" t="s">
        <v>177</v>
      </c>
      <c r="G145" s="33">
        <v>2000</v>
      </c>
      <c r="H145" s="33">
        <v>2000</v>
      </c>
      <c r="I145" s="7" t="s">
        <v>18</v>
      </c>
    </row>
    <row r="146" spans="1:9" x14ac:dyDescent="0.25">
      <c r="A146" s="5">
        <v>19</v>
      </c>
      <c r="B146" s="23">
        <v>43825</v>
      </c>
      <c r="C146" s="5">
        <v>848817032</v>
      </c>
      <c r="D146" s="5" t="s">
        <v>277</v>
      </c>
      <c r="E146" s="5">
        <v>1</v>
      </c>
      <c r="F146" s="5" t="s">
        <v>167</v>
      </c>
      <c r="G146" s="33">
        <v>400</v>
      </c>
      <c r="H146" s="33">
        <v>400</v>
      </c>
      <c r="I146" s="7" t="s">
        <v>18</v>
      </c>
    </row>
    <row r="147" spans="1:9" x14ac:dyDescent="0.25">
      <c r="A147" s="5">
        <v>20</v>
      </c>
      <c r="B147" s="23">
        <v>43826</v>
      </c>
      <c r="C147" s="5">
        <v>171471789</v>
      </c>
      <c r="D147" s="5" t="s">
        <v>185</v>
      </c>
      <c r="E147" s="5">
        <v>1</v>
      </c>
      <c r="F147" s="5" t="s">
        <v>177</v>
      </c>
      <c r="G147" s="33">
        <v>900</v>
      </c>
      <c r="H147" s="33">
        <v>900</v>
      </c>
      <c r="I147" s="7" t="s">
        <v>18</v>
      </c>
    </row>
    <row r="148" spans="1:9" x14ac:dyDescent="0.25">
      <c r="A148" s="5">
        <v>21</v>
      </c>
      <c r="B148" s="23">
        <v>43827</v>
      </c>
      <c r="C148" s="5">
        <v>840623079</v>
      </c>
      <c r="D148" s="5" t="s">
        <v>312</v>
      </c>
      <c r="E148" s="5">
        <v>1</v>
      </c>
      <c r="F148" s="5" t="s">
        <v>183</v>
      </c>
      <c r="G148" s="33">
        <v>700</v>
      </c>
      <c r="H148" s="33">
        <v>700</v>
      </c>
      <c r="I148" s="7" t="s">
        <v>18</v>
      </c>
    </row>
    <row r="149" spans="1:9" x14ac:dyDescent="0.25">
      <c r="A149" s="5">
        <v>22</v>
      </c>
      <c r="B149" s="23">
        <v>43828</v>
      </c>
      <c r="C149" s="5">
        <v>713758876</v>
      </c>
      <c r="D149" s="5" t="s">
        <v>267</v>
      </c>
      <c r="E149" s="5">
        <v>1</v>
      </c>
      <c r="F149" s="5" t="s">
        <v>167</v>
      </c>
      <c r="G149" s="33">
        <v>400</v>
      </c>
      <c r="H149" s="33">
        <v>400</v>
      </c>
      <c r="I149" s="7" t="s">
        <v>18</v>
      </c>
    </row>
    <row r="150" spans="1:9" x14ac:dyDescent="0.25">
      <c r="A150" s="5">
        <v>23</v>
      </c>
      <c r="B150" s="23">
        <v>43829</v>
      </c>
      <c r="C150" s="5">
        <v>660998802</v>
      </c>
      <c r="D150" s="5" t="s">
        <v>462</v>
      </c>
      <c r="E150" s="5">
        <v>1</v>
      </c>
      <c r="F150" s="5" t="s">
        <v>26</v>
      </c>
      <c r="G150" s="33">
        <v>1.4</v>
      </c>
      <c r="H150" s="33">
        <v>1.4</v>
      </c>
      <c r="I150" s="7" t="s">
        <v>18</v>
      </c>
    </row>
    <row r="151" spans="1:9" x14ac:dyDescent="0.25">
      <c r="A151" s="5">
        <v>1</v>
      </c>
      <c r="B151" s="23">
        <v>43830</v>
      </c>
      <c r="C151" s="5">
        <v>660998802</v>
      </c>
      <c r="D151" s="5" t="s">
        <v>462</v>
      </c>
      <c r="E151" s="5">
        <v>1</v>
      </c>
      <c r="F151" s="5" t="s">
        <v>26</v>
      </c>
      <c r="G151" s="33">
        <v>1.4</v>
      </c>
      <c r="H151" s="33">
        <v>1.4</v>
      </c>
      <c r="I151" s="7" t="s">
        <v>18</v>
      </c>
    </row>
    <row r="152" spans="1:9" x14ac:dyDescent="0.25">
      <c r="A152" s="5">
        <v>2</v>
      </c>
      <c r="B152" s="23">
        <v>43831</v>
      </c>
      <c r="C152" s="5">
        <v>660998802</v>
      </c>
      <c r="D152" s="5" t="s">
        <v>462</v>
      </c>
      <c r="E152" s="5">
        <v>1</v>
      </c>
      <c r="F152" s="5" t="s">
        <v>26</v>
      </c>
      <c r="G152" s="33">
        <v>1.4</v>
      </c>
      <c r="H152" s="33">
        <v>1.4</v>
      </c>
      <c r="I152" s="7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12"/>
  <sheetViews>
    <sheetView workbookViewId="0">
      <selection activeCell="F3" sqref="F3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4" t="s">
        <v>146</v>
      </c>
      <c r="D1" s="45"/>
      <c r="E1" s="45"/>
      <c r="F1" s="45"/>
      <c r="G1" s="45"/>
      <c r="H1" s="46"/>
    </row>
    <row r="2" spans="2:10" ht="15.75" thickBot="1" x14ac:dyDescent="0.3">
      <c r="B2" s="6"/>
      <c r="C2" s="47"/>
      <c r="D2" s="48"/>
      <c r="E2" s="48"/>
      <c r="F2" s="48"/>
      <c r="G2" s="48"/>
      <c r="H2" s="49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381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0</v>
      </c>
      <c r="E4" s="10">
        <f>SUMIFS(TABLA_CIERRES[PRETIO TOTAL],TABLA_CIERRES[FORMA DE PAGO],"TARJETA",TABLA_CIERRES[Fecha],Tabla5[[#This Row],[FECHA]])</f>
        <v>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-100</v>
      </c>
      <c r="J4" s="32">
        <f>SUM(Tabla5[GANACIA])</f>
        <v>-35650</v>
      </c>
    </row>
    <row r="5" spans="2:10" x14ac:dyDescent="0.25">
      <c r="C5" s="23">
        <v>44974</v>
      </c>
      <c r="D5" s="10">
        <f>SUMIFS(TABLA_CIERRES[PRETIO TOTAL],TABLA_CIERRES[FORMA DE PAGO],"Efectivo",TABLA_CIERRES[Fecha],Tabla5[[#This Row],[FECHA]])</f>
        <v>0</v>
      </c>
      <c r="E5" s="10">
        <f>SUMIFS(TABLA_CIERRES[PRETIO TOTAL],TABLA_CIERRES[FORMA DE PAGO],"TARJETA",TABLA_CIERRES[Fecha],Tabla5[[#This Row],[FECHA]])</f>
        <v>0</v>
      </c>
      <c r="F5" s="15">
        <f>SUMIFS(TABLA_CIERRES[PRETIO TOTAL],TABLA_CIERRES[FORMA DE PAGO],"TRANSFERENCIA",TABLA_CIERRES[Fecha],Tabla5[[#This Row],[FECHA]])</f>
        <v>0</v>
      </c>
      <c r="G5" s="10">
        <v>1800</v>
      </c>
      <c r="H5" s="10">
        <f>(Tabla5[[#This Row],[EFECTIVO]]+Tabla5[[#This Row],[TARJETA]]+Tabla5[[#This Row],[TRANSFERENCIA]])-Tabla5[[#This Row],[GASTO]]</f>
        <v>-1800</v>
      </c>
      <c r="J5" s="32"/>
    </row>
    <row r="6" spans="2:10" x14ac:dyDescent="0.25">
      <c r="C6" s="23">
        <v>44974</v>
      </c>
      <c r="D6" s="10">
        <f>SUMIFS(TABLA_CIERRES[PRETIO TOTAL],TABLA_CIERRES[FORMA DE PAGO],"Efectivo",TABLA_CIERRES[Fecha],Tabla5[[#This Row],[FECHA]])</f>
        <v>0</v>
      </c>
      <c r="E6" s="10">
        <f>SUMIFS(TABLA_CIERRES[PRETIO TOTAL],TABLA_CIERRES[FORMA DE PAGO],"TARJETA",TABLA_CIERRES[Fecha],Tabla5[[#This Row],[FECHA]])</f>
        <v>0</v>
      </c>
      <c r="F6" s="15">
        <f>SUMIFS(TABLA_CIERRES[PRETIO TOTAL],TABLA_CIERRES[FORMA DE PAGO],"TRANSFERENCIA",TABLA_CIERRES[Fecha],Tabla5[[#This Row],[FECHA]])</f>
        <v>0</v>
      </c>
      <c r="G6" s="10">
        <v>600</v>
      </c>
      <c r="H6" s="10">
        <f>(Tabla5[[#This Row],[EFECTIVO]]+Tabla5[[#This Row],[TARJETA]]+Tabla5[[#This Row],[TRANSFERENCIA]])-Tabla5[[#This Row],[GASTO]]</f>
        <v>-600</v>
      </c>
      <c r="J6" s="32"/>
    </row>
    <row r="7" spans="2:10" x14ac:dyDescent="0.25">
      <c r="C7" s="23">
        <v>44966</v>
      </c>
      <c r="D7" s="10">
        <f>SUMIFS(TABLA_CIERRES[PRETIO TOTAL],TABLA_CIERRES[FORMA DE PAGO],"Efectivo",TABLA_CIERRES[Fecha],Tabla5[[#This Row],[FECHA]])</f>
        <v>0</v>
      </c>
      <c r="E7" s="10">
        <f>SUMIFS(TABLA_CIERRES[PRETIO TOTAL],TABLA_CIERRES[FORMA DE PAGO],"TARJETA",TABLA_CIERRES[Fecha],Tabla5[[#This Row],[FECHA]])</f>
        <v>0</v>
      </c>
      <c r="F7" s="15">
        <f>SUMIFS(TABLA_CIERRES[PRETIO TOTAL],TABLA_CIERRES[FORMA DE PAGO],"TRANSFERENCIA",TABLA_CIERRES[Fecha],Tabla5[[#This Row],[FECHA]])</f>
        <v>0</v>
      </c>
      <c r="G7" s="10">
        <v>2750</v>
      </c>
      <c r="H7" s="10">
        <f>(Tabla5[[#This Row],[EFECTIVO]]+Tabla5[[#This Row],[TARJETA]]+Tabla5[[#This Row],[TRANSFERENCIA]])-Tabla5[[#This Row],[GASTO]]</f>
        <v>-2750</v>
      </c>
      <c r="J7" s="32"/>
    </row>
    <row r="8" spans="2:10" x14ac:dyDescent="0.25">
      <c r="C8" s="23">
        <v>44965</v>
      </c>
      <c r="D8" s="10">
        <f>SUMIFS(TABLA_CIERRES[PRETIO TOTAL],TABLA_CIERRES[FORMA DE PAGO],"Efectivo",TABLA_CIERRES[Fecha],Tabla5[[#This Row],[FECHA]])</f>
        <v>0</v>
      </c>
      <c r="E8" s="10">
        <f>SUMIFS(TABLA_CIERRES[PRETIO TOTAL],TABLA_CIERRES[FORMA DE PAGO],"TARJETA",TABLA_CIERRES[Fecha],Tabla5[[#This Row],[FECHA]])</f>
        <v>0</v>
      </c>
      <c r="F8" s="15">
        <f>SUMIFS(TABLA_CIERRES[PRETIO TOTAL],TABLA_CIERRES[FORMA DE PAGO],"TRANSFERENCIA",TABLA_CIERRES[Fecha],Tabla5[[#This Row],[FECHA]])</f>
        <v>0</v>
      </c>
      <c r="G8" s="10">
        <v>4400</v>
      </c>
      <c r="H8" s="10">
        <f>(Tabla5[[#This Row],[EFECTIVO]]+Tabla5[[#This Row],[TARJETA]]+Tabla5[[#This Row],[TRANSFERENCIA]])-Tabla5[[#This Row],[GASTO]]</f>
        <v>-4400</v>
      </c>
      <c r="J8" s="32"/>
    </row>
    <row r="9" spans="2:10" x14ac:dyDescent="0.25">
      <c r="C9" s="23">
        <v>44964</v>
      </c>
      <c r="D9" s="10">
        <f>SUMIFS(TABLA_CIERRES[PRETIO TOTAL],TABLA_CIERRES[FORMA DE PAGO],"Efectivo",TABLA_CIERRES[Fecha],Tabla5[[#This Row],[FECHA]])</f>
        <v>0</v>
      </c>
      <c r="E9" s="10">
        <f>SUMIFS(TABLA_CIERRES[PRETIO TOTAL],TABLA_CIERRES[FORMA DE PAGO],"TARJETA",TABLA_CIERRES[Fecha],Tabla5[[#This Row],[FECHA]])</f>
        <v>0</v>
      </c>
      <c r="F9" s="15">
        <f>SUMIFS(TABLA_CIERRES[PRETIO TOTAL],TABLA_CIERRES[FORMA DE PAGO],"TRANSFERENCIA",TABLA_CIERRES[Fecha],Tabla5[[#This Row],[FECHA]])</f>
        <v>0</v>
      </c>
      <c r="G9" s="10">
        <v>5200</v>
      </c>
      <c r="H9" s="10">
        <f>(Tabla5[[#This Row],[EFECTIVO]]+Tabla5[[#This Row],[TARJETA]]+Tabla5[[#This Row],[TRANSFERENCIA]])-Tabla5[[#This Row],[GASTO]]</f>
        <v>-5200</v>
      </c>
      <c r="J9" s="32"/>
    </row>
    <row r="10" spans="2:10" x14ac:dyDescent="0.25">
      <c r="C10" s="23">
        <v>44960</v>
      </c>
      <c r="D10" s="10">
        <f>SUMIFS(TABLA_CIERRES[PRETIO TOTAL],TABLA_CIERRES[FORMA DE PAGO],"Efectivo",TABLA_CIERRES[Fecha],Tabla5[[#This Row],[FECHA]])</f>
        <v>0</v>
      </c>
      <c r="E10" s="10">
        <f>SUMIFS(TABLA_CIERRES[PRETIO TOTAL],TABLA_CIERRES[FORMA DE PAGO],"TARJETA",TABLA_CIERRES[Fecha],Tabla5[[#This Row],[FECHA]])</f>
        <v>0</v>
      </c>
      <c r="F10" s="15">
        <f>SUMIFS(TABLA_CIERRES[PRETIO TOTAL],TABLA_CIERRES[FORMA DE PAGO],"TRANSFERENCIA",TABLA_CIERRES[Fecha],Tabla5[[#This Row],[FECHA]])</f>
        <v>0</v>
      </c>
      <c r="G10" s="10">
        <v>12500</v>
      </c>
      <c r="H10" s="10">
        <f>(Tabla5[[#This Row],[EFECTIVO]]+Tabla5[[#This Row],[TARJETA]]+Tabla5[[#This Row],[TRANSFERENCIA]])-Tabla5[[#This Row],[GASTO]]</f>
        <v>-12500</v>
      </c>
    </row>
    <row r="11" spans="2:10" x14ac:dyDescent="0.25">
      <c r="C11" s="23">
        <v>44959</v>
      </c>
      <c r="D11" s="10">
        <f>SUMIFS(TABLA_CIERRES[PRETIO TOTAL],TABLA_CIERRES[FORMA DE PAGO],"Efectivo",TABLA_CIERRES[Fecha],Tabla5[[#This Row],[FECHA]])</f>
        <v>0</v>
      </c>
      <c r="E11" s="10">
        <f>SUMIFS(TABLA_CIERRES[PRETIO TOTAL],TABLA_CIERRES[FORMA DE PAGO],"TARJETA",TABLA_CIERRES[Fecha],Tabla5[[#This Row],[FECHA]])</f>
        <v>0</v>
      </c>
      <c r="F11" s="15">
        <f>SUMIFS(TABLA_CIERRES[PRETIO TOTAL],TABLA_CIERRES[FORMA DE PAGO],"TRANSFERENCIA",TABLA_CIERRES[Fecha],Tabla5[[#This Row],[FECHA]])</f>
        <v>0</v>
      </c>
      <c r="G11" s="10">
        <v>2800</v>
      </c>
      <c r="H11" s="10">
        <f>(Tabla5[[#This Row],[EFECTIVO]]+Tabla5[[#This Row],[TARJETA]]+Tabla5[[#This Row],[TRANSFERENCIA]])-Tabla5[[#This Row],[GASTO]]</f>
        <v>-2800</v>
      </c>
    </row>
    <row r="12" spans="2:10" x14ac:dyDescent="0.25">
      <c r="C12" s="23">
        <v>44958</v>
      </c>
      <c r="D12" s="10">
        <f>SUMIFS(TABLA_CIERRES[PRETIO TOTAL],TABLA_CIERRES[FORMA DE PAGO],"Efectivo",TABLA_CIERRES[Fecha],Tabla5[[#This Row],[FECHA]])</f>
        <v>0</v>
      </c>
      <c r="E12" s="10">
        <f>SUMIFS(TABLA_CIERRES[PRETIO TOTAL],TABLA_CIERRES[FORMA DE PAGO],"TARJETA",TABLA_CIERRES[Fecha],Tabla5[[#This Row],[FECHA]])</f>
        <v>0</v>
      </c>
      <c r="F12" s="15">
        <f>SUMIFS(TABLA_CIERRES[PRETIO TOTAL],TABLA_CIERRES[FORMA DE PAGO],"TRANSFERENCIA",TABLA_CIERRES[Fecha],Tabla5[[#This Row],[FECHA]])</f>
        <v>0</v>
      </c>
      <c r="G12" s="10">
        <v>5500</v>
      </c>
      <c r="H12" s="10">
        <f>(Tabla5[[#This Row],[EFECTIVO]]+Tabla5[[#This Row],[TARJETA]]+Tabla5[[#This Row],[TRANSFERENCIA]])-Tabla5[[#This Row],[GASTO]]</f>
        <v>-5500</v>
      </c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2023-02-18T03:44:02Z</dcterms:modified>
</cp:coreProperties>
</file>