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9FACE2D3-B029-4FE9-B68E-BB10889DD419}" xr6:coauthVersionLast="47" xr6:coauthVersionMax="47" xr10:uidLastSave="{00000000-0000-0000-0000-000000000000}"/>
  <bookViews>
    <workbookView minimized="1" xWindow="3045" yWindow="2325" windowWidth="15375" windowHeight="7785" activeTab="1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5" l="1"/>
  <c r="H5" i="5" s="1"/>
  <c r="E5" i="5"/>
  <c r="F5" i="5"/>
  <c r="H3" i="2"/>
  <c r="J3" i="2"/>
  <c r="D6" i="5" l="1"/>
  <c r="E6" i="5"/>
  <c r="F6" i="5"/>
  <c r="H6" i="5" l="1"/>
  <c r="D7" i="5"/>
  <c r="E7" i="5"/>
  <c r="F7" i="5"/>
  <c r="H4" i="2"/>
  <c r="J4" i="2"/>
  <c r="H5" i="2"/>
  <c r="J5" i="2"/>
  <c r="H7" i="5" l="1"/>
  <c r="D8" i="5"/>
  <c r="E8" i="5"/>
  <c r="F8" i="5"/>
  <c r="H6" i="2"/>
  <c r="J6" i="2"/>
  <c r="H8" i="5" l="1"/>
  <c r="H435" i="2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D4" i="5"/>
  <c r="E4" i="5"/>
  <c r="F4" i="5"/>
  <c r="H4" i="5" l="1"/>
  <c r="D9" i="5"/>
  <c r="E9" i="5"/>
  <c r="F9" i="5"/>
  <c r="H328" i="2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9" i="5" l="1"/>
  <c r="H309" i="2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D10" i="5" l="1"/>
  <c r="E10" i="5"/>
  <c r="F10" i="5"/>
  <c r="H266" i="2"/>
  <c r="J266" i="2"/>
  <c r="H265" i="2"/>
  <c r="J265" i="2"/>
  <c r="H10" i="5" l="1"/>
  <c r="J264" i="2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D11" i="5" l="1"/>
  <c r="E11" i="5"/>
  <c r="F11" i="5"/>
  <c r="H242" i="2"/>
  <c r="H11" i="5" l="1"/>
  <c r="H241" i="2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<sst xmlns="http://schemas.openxmlformats.org/spreadsheetml/2006/main" count="1497" uniqueCount="473">
  <si>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</si>
  <si>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</si>
  <si>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</si>
  <si>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</si>
  <si>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</si>
  <si>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</si>
  <si>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</si>
  <si>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</si>
  <si>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</si>
  <si>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</si>
  <si>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</si>
  <si>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</si>
  <si>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</si>
  <si>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</si>
  <si>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</si>
  <si>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</si>
  <si>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</si>
  <si>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</si>
  <si>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</si>
  <si>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</si>
  <si>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</si>
  <si>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</si>
  <si>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</si>
  <si>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</si>
  <si>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</si>
  <si>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</si>
  <si>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</si>
  <si>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</si>
  <si>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</si>
  <si>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</si>
  <si>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</si>
  <si>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</si>
  <si>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</si>
  <si>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</si>
  <si>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</si>
  <si>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</si>
  <si>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</si>
  <si>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</si>
  <si>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</si>
  <si>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</si>
  <si>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</si>
  <si>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</si>
  <si>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</si>
  <si>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</si>
  <si>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</si>
  <si>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</si>
  <si>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</si>
  <si>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</si>
  <si>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</si>
  <si>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</si>
  <si>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</si>
  <si>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</si>
  <si>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</si>
  <si>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</si>
  <si>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</si>
  <si>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</si>
  <si>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</si>
  <si>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</si>
  <si>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</si>
  <si>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</si>
  <si>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</si>
  <si>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</si>
  <si>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</si>
  <si>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</si>
  <si>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</si>
  <si>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</si>
  <si>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</si>
  <si>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</si>
  <si>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</si>
  <si>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</si>
  <si>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</si>
  <si>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</si>
  <si>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</si>
  <si>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</si>
  <si>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</si>
  <si>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</si>
  <si>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</si>
  <si>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</si>
  <si>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</si>
  <si>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</si>
  <si>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</si>
  <si>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</si>
  <si>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</si>
  <si>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</si>
  <si>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</si>
  <si>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</si>
  <si>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</si>
  <si>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</si>
  <si>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</si>
  <si>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</si>
  <si>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</si>
  <si>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</si>
  <si>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</si>
  <si>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</si>
  <si>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</si>
  <si>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</si>
  <si>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</si>
  <si>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</si>
  <si>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</si>
  <si>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</si>
  <si>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</si>
  <si>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</si>
  <si>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</si>
  <si>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</si>
  <si>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</si>
  <si>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</si>
  <si>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</si>
  <si>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</si>
  <si>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</si>
  <si>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</si>
  <si>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</si>
  <si>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</si>
  <si>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</si>
  <si>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</si>
  <si>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</si>
  <si>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</si>
  <si>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</si>
  <si>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</si>
  <si>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</si>
  <si>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</si>
  <si>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</si>
  <si>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</si>
  <si>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</si>
  <si>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</si>
  <si>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</si>
  <si>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</si>
  <si>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</si>
  <si>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</si>
  <si>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</si>
  <si>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</si>
  <si>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</si>
  <si>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</si>
  <si>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</si>
  <si>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</si>
  <si>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</si>
  <si>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</si>
  <si>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</si>
  <si>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</si>
  <si>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</si>
  <si>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</si>
  <si>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</si>
  <si>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</si>
  <si>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</si>
  <si>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</si>
  <si>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</si>
  <si>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</si>
  <si>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</si>
  <si>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</si>
  <si>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</si>
  <si>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</si>
  <si>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</si>
  <si>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</si>
  <si>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</si>
  <si>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</si>
  <si>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</si>
  <si>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</si>
  <si>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</si>
  <si>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</si>
  <si>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</si>
  <si>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</si>
  <si>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</si>
  <si>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</si>
  <si>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</si>
  <si>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</si>
  <si>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</si>
  <si>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</si>
  <si>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</si>
  <si>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</si>
  <si>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</si>
  <si>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</si>
  <si>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</si>
  <si>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</si>
  <si>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</si>
  <si>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</si>
  <si>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</si>
  <si>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</si>
  <si>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</si>
  <si>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</si>
  <si>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</si>
  <si>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</si>
  <si>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</si>
  <si>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</si>
  <si>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</si>
  <si>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</si>
  <si>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</si>
  <si>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</si>
  <si>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</si>
  <si>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</si>
  <si>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</si>
  <si>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</si>
  <si>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</si>
  <si>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</si>
  <si>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</si>
  <si>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</si>
  <si>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</si>
  <si>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</si>
  <si>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</si>
  <si>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</si>
  <si>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</si>
  <si>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</si>
  <si>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</si>
  <si>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</si>
  <si>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</si>
  <si>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</si>
  <si>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</si>
  <si>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</si>
  <si>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</si>
  <si>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</si>
  <si>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</si>
  <si>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</si>
  <si>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</si>
  <si>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</si>
  <si>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</si>
  <si>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</si>
  <si>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</si>
  <si>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</si>
  <si>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</si>
  <si>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</si>
  <si>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</si>
  <si>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</si>
  <si>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</si>
  <si>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</si>
  <si>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</si>
  <si>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</si>
  <si>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</si>
  <si>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</si>
  <si>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</si>
  <si>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</si>
  <si>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</si>
  <si>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</si>
  <si>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</si>
  <si>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</si>
  <si>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</si>
  <si>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</si>
  <si>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</si>
  <si>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</si>
  <si>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</si>
  <si>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</si>
  <si>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</si>
  <si>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</si>
  <si>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</si>
  <si>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</si>
  <si>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</si>
  <si>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</si>
  <si>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</si>
  <si>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</si>
  <si>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</si>
  <si>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</si>
  <si>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</si>
  <si>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</si>
  <si>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</si>
  <si>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</si>
  <si>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</si>
  <si>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</si>
  <si>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</si>
  <si>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</si>
  <si>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</si>
  <si>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</si>
  <si>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</si>
  <si>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</si>
  <si>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</si>
  <si>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</si>
  <si>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</si>
  <si>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</si>
  <si>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</si>
  <si>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</si>
  <si>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</si>
  <si>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</si>
  <si>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</si>
  <si>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</si>
  <si>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</si>
  <si>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</si>
  <si>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</si>
  <si>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</si>
  <si>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</si>
  <si>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</si>
  <si>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</si>
  <si>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</si>
  <si>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</si>
  <si>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</si>
  <si>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</si>
  <si>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</si>
  <si>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</si>
  <si>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</si>
  <si>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</si>
  <si>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</si>
  <si>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</si>
  <si>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</si>
  <si>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</si>
  <si>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</si>
  <si>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</si>
  <si>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</si>
  <si>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</si>
  <si>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</si>
  <si>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</si>
  <si>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</si>
  <si>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</si>
  <si>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</si>
  <si>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</si>
  <si>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</si>
  <si>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</si>
  <si>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</si>
  <si>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</si>
  <si>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</si>
  <si>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</si>
  <si>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</si>
  <si>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</si>
  <si>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</si>
  <si>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</si>
  <si>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</si>
  <si>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</si>
  <si>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</si>
  <si>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</si>
  <si>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</si>
  <si>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</si>
  <si>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</si>
  <si>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</si>
  <si>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</si>
  <si>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</si>
  <si>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</si>
  <si>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</si>
  <si>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</si>
  <si>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</si>
  <si>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</si>
  <si>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</si>
  <si>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</si>
  <si>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</si>
  <si>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</si>
  <si>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</si>
  <si>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</si>
  <si>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</si>
  <si>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</si>
  <si>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</si>
  <si>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</si>
  <si>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</si>
  <si>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</si>
  <si>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</si>
  <si>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</si>
  <si>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</si>
  <si>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</si>
  <si>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</si>
  <si>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</si>
  <si>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</si>
  <si>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</si>
  <si>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</si>
  <si>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</si>
  <si>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</si>
  <si>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</si>
  <si>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</si>
  <si>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</si>
  <si>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</si>
  <si>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</si>
  <si>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</si>
  <si>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</si>
  <si>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</si>
  <si>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</si>
  <si>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</si>
  <si>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</si>
  <si>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</si>
  <si>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</si>
  <si>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</si>
  <si>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</si>
  <si>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</si>
  <si>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</si>
  <si>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</si>
  <si>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</si>
  <si>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</si>
  <si>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</si>
  <si>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</si>
  <si>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</si>
  <si>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</si>
  <si>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</si>
  <si>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</si>
  <si>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</si>
  <si>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</si>
  <si>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</si>
  <si>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</si>
  <si>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</si>
  <si>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</si>
  <si>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</si>
  <si>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</si>
  <si>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</si>
  <si>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</si>
  <si>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</si>
  <si>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</si>
  <si>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</si>
  <si>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</si>
  <si>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</si>
  <si>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</si>
  <si>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</si>
  <si>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</si>
  <si>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</si>
  <si>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</si>
  <si>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</si>
  <si>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</si>
  <si>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</si>
  <si>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</si>
  <si>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</si>
  <si>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</si>
  <si>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</si>
  <si>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</si>
  <si>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</si>
  <si>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</si>
  <si>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</si>
  <si>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</si>
  <si>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</si>
  <si>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</si>
  <si>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</si>
  <si>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</si>
  <si>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</si>
  <si>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</si>
  <si>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</si>
  <si>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</si>
  <si>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</si>
  <si>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</si>
  <si>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</si>
  <si>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</si>
  <si>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</si>
  <si>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</si>
  <si>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</si>
  <si>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</si>
  <si>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</si>
  <si>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</si>
  <si>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</si>
  <si>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</si>
  <si>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</si>
  <si>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</si>
  <si>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</si>
  <si>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</si>
  <si>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</si>
  <si>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</si>
  <si>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</si>
  <si>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</si>
  <si>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</si>
  <si>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</si>
  <si>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</si>
  <si>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</si>
  <si>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</si>
  <si>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</si>
  <si>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</si>
  <si>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</si>
  <si>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</si>
  <si>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</si>
  <si>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</si>
  <si>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</si>
  <si>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</si>
  <si>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</si>
  <si>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</si>
  <si>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</si>
  <si>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</si>
  <si>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</si>
  <si>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</si>
  <si>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</si>
  <si>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</si>
  <si>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</si>
  <si>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</si>
  <si>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</si>
  <si>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</si>
  <si>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</si>
  <si>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</si>
  <si>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</si>
  <si>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</si>
  <si>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</si>
  <si>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</si>
  <si>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</si>
  <si>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</si>
  <si>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</si>
  <si>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</si>
  <si>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</si>
  <si>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</si>
  <si>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</si>
  <si>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</si>
  <si>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J1 ACE REFORZADAs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</si>
</sst>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" totalsRowShown="0" dataDxfId="30">
  <autoFilter ref="A1:I2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50" totalsRowShown="0" dataDxfId="20">
  <autoFilter ref="A1:I150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1" totalsRowShown="0" headerRowDxfId="10" dataDxfId="9">
  <autoFilter ref="C3:H11" xr:uid="{00000000-0009-0000-0100-000005000000}"/>
  <tableColumns count="6">
    <tableColumn id="1" xr3:uid="{00000000-0010-0000-0400-000001000000}" name="FECHA" dataDxfId="8"/>
    <tableColumn id="3" xr3:uid="{00000000-0010-0000-0400-000003000000}" name="EFECTIVO" dataDxfId="7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6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5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4"/>
    <tableColumn id="2" xr3:uid="{00000000-0010-0000-0400-000002000000}" name="GANACIA" dataDxfId="3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2" dataDxfId="1">
  <autoFilter ref="J3:J4" xr:uid="{00000000-0009-0000-0100-000006000000}"/>
  <tableColumns count="1">
    <tableColumn id="1" xr3:uid="{00000000-0010-0000-0500-000001000000}" name="TOTAL DE GANANCIAS " dataDxfId="0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2</v>
      </c>
      <c r="B1" s="13">
        <f>MAX(Tabla2[Nro])+1</f>
        <v>462</v>
      </c>
      <c r="C1" s="24">
        <f ca="1">TODAY()</f>
        <v>44974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tabSelected="1" topLeftCell="F1" zoomScale="82" zoomScaleNormal="82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2" max="4" width="28.42578125" style="3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7.5703125" style="29" bestFit="1" customWidth="1"/>
    <col min="10" max="10" width="15.570312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42" t="s">
        <v>471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4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42" t="s">
        <v>470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42" t="s">
        <v>468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0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34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7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21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14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63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28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469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11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56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50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19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4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40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26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11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"/>
  <sheetViews>
    <sheetView zoomScale="87" zoomScaleNormal="87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>
        <v>1</v>
      </c>
      <c r="B2" s="11">
        <v>44974</v>
      </c>
      <c r="C2" s="5">
        <v>660998802</v>
      </c>
      <c r="D2" s="5" t="s">
        <v>467</v>
      </c>
      <c r="E2" s="8">
        <v>1</v>
      </c>
      <c r="F2" s="20" t="s">
        <v>26</v>
      </c>
      <c r="G2" s="33">
        <v>1.4</v>
      </c>
      <c r="H2" s="33">
        <v>1.4</v>
      </c>
      <c r="I2" s="8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50"/>
  <sheetViews>
    <sheetView zoomScale="98" zoomScaleNormal="98" workbookViewId="0">
      <selection activeCell="D9" sqref="D9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472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  <row r="128" spans="1:9" x14ac:dyDescent="0.25">
      <c r="A128" s="5">
        <v>1</v>
      </c>
      <c r="B128" s="23">
        <v>44967</v>
      </c>
      <c r="C128" s="5">
        <v>713758876</v>
      </c>
      <c r="D128" s="5" t="s">
        <v>272</v>
      </c>
      <c r="E128" s="5">
        <v>1</v>
      </c>
      <c r="F128" s="5" t="s">
        <v>172</v>
      </c>
      <c r="G128" s="33">
        <v>400</v>
      </c>
      <c r="H128" s="33">
        <v>400</v>
      </c>
      <c r="I128" s="7" t="s">
        <v>18</v>
      </c>
    </row>
    <row r="129" spans="1:9" x14ac:dyDescent="0.25">
      <c r="A129" s="5">
        <v>2</v>
      </c>
      <c r="B129" s="23">
        <v>44967</v>
      </c>
      <c r="C129" s="5">
        <v>200260895</v>
      </c>
      <c r="D129" s="5" t="s">
        <v>471</v>
      </c>
      <c r="E129" s="5">
        <v>1</v>
      </c>
      <c r="F129" s="5" t="s">
        <v>26</v>
      </c>
      <c r="G129" s="33">
        <v>1400</v>
      </c>
      <c r="H129" s="33">
        <v>1400</v>
      </c>
      <c r="I129" s="7" t="s">
        <v>24</v>
      </c>
    </row>
    <row r="130" spans="1:9" x14ac:dyDescent="0.25">
      <c r="A130" s="5">
        <v>3</v>
      </c>
      <c r="B130" s="23">
        <v>44967</v>
      </c>
      <c r="C130" s="5">
        <v>682246906</v>
      </c>
      <c r="D130" s="5" t="s">
        <v>339</v>
      </c>
      <c r="E130" s="5">
        <v>1</v>
      </c>
      <c r="F130" s="5" t="s">
        <v>182</v>
      </c>
      <c r="G130" s="33">
        <v>2000</v>
      </c>
      <c r="H130" s="33">
        <v>2000</v>
      </c>
      <c r="I130" s="7" t="s">
        <v>18</v>
      </c>
    </row>
    <row r="131" spans="1:9" x14ac:dyDescent="0.25">
      <c r="A131" s="5">
        <v>4</v>
      </c>
      <c r="B131" s="23">
        <v>44967</v>
      </c>
      <c r="C131" s="5">
        <v>107822099</v>
      </c>
      <c r="D131" s="5" t="s">
        <v>185</v>
      </c>
      <c r="E131" s="5">
        <v>1</v>
      </c>
      <c r="F131" s="5" t="s">
        <v>182</v>
      </c>
      <c r="G131" s="33">
        <v>2000</v>
      </c>
      <c r="H131" s="33">
        <v>2000</v>
      </c>
      <c r="I131" s="7" t="s">
        <v>18</v>
      </c>
    </row>
    <row r="132" spans="1:9" x14ac:dyDescent="0.25">
      <c r="A132" s="5">
        <v>5</v>
      </c>
      <c r="B132" s="23">
        <v>44967</v>
      </c>
      <c r="C132" s="5">
        <v>171471790</v>
      </c>
      <c r="D132" s="5" t="s">
        <v>277</v>
      </c>
      <c r="E132" s="5">
        <v>1</v>
      </c>
      <c r="F132" s="5" t="s">
        <v>172</v>
      </c>
      <c r="G132" s="33">
        <v>400</v>
      </c>
      <c r="H132" s="33">
        <v>400</v>
      </c>
      <c r="I132" s="7" t="s">
        <v>18</v>
      </c>
    </row>
    <row r="133" spans="1:9" x14ac:dyDescent="0.25">
      <c r="A133" s="5">
        <v>6</v>
      </c>
      <c r="B133" s="23">
        <v>44967</v>
      </c>
      <c r="C133" s="5">
        <v>107822099</v>
      </c>
      <c r="D133" s="5" t="s">
        <v>185</v>
      </c>
      <c r="E133" s="5">
        <v>1</v>
      </c>
      <c r="F133" s="5" t="s">
        <v>182</v>
      </c>
      <c r="G133" s="33">
        <v>2000</v>
      </c>
      <c r="H133" s="33">
        <v>2000</v>
      </c>
      <c r="I133" s="7" t="s">
        <v>18</v>
      </c>
    </row>
    <row r="134" spans="1:9" x14ac:dyDescent="0.25">
      <c r="A134" s="5">
        <v>7</v>
      </c>
      <c r="B134" s="23">
        <v>44967</v>
      </c>
      <c r="C134" s="5">
        <v>133540647</v>
      </c>
      <c r="D134" s="5" t="s">
        <v>197</v>
      </c>
      <c r="E134" s="5">
        <v>1</v>
      </c>
      <c r="F134" s="5" t="s">
        <v>188</v>
      </c>
      <c r="G134" s="33">
        <v>900</v>
      </c>
      <c r="H134" s="33">
        <v>900</v>
      </c>
      <c r="I134" s="7" t="s">
        <v>18</v>
      </c>
    </row>
    <row r="135" spans="1:9" x14ac:dyDescent="0.25">
      <c r="A135" s="5">
        <v>8</v>
      </c>
      <c r="B135" s="23">
        <v>44967</v>
      </c>
      <c r="C135" s="5">
        <v>86459921</v>
      </c>
      <c r="D135" s="5" t="s">
        <v>276</v>
      </c>
      <c r="E135" s="5">
        <v>1</v>
      </c>
      <c r="F135" s="5" t="s">
        <v>172</v>
      </c>
      <c r="G135" s="33">
        <v>400</v>
      </c>
      <c r="H135" s="33">
        <v>400</v>
      </c>
      <c r="I135" s="7" t="s">
        <v>18</v>
      </c>
    </row>
    <row r="136" spans="1:9" x14ac:dyDescent="0.25">
      <c r="A136" s="5">
        <v>9</v>
      </c>
      <c r="B136" s="23">
        <v>44967</v>
      </c>
      <c r="C136" s="5">
        <v>554180811</v>
      </c>
      <c r="D136" s="5" t="s">
        <v>147</v>
      </c>
      <c r="E136" s="5">
        <v>1</v>
      </c>
      <c r="F136" s="5" t="s">
        <v>26</v>
      </c>
      <c r="G136" s="33">
        <v>600</v>
      </c>
      <c r="H136" s="33">
        <v>600</v>
      </c>
      <c r="I136" s="7" t="s">
        <v>18</v>
      </c>
    </row>
    <row r="137" spans="1:9" x14ac:dyDescent="0.25">
      <c r="A137" s="5">
        <v>10</v>
      </c>
      <c r="B137" s="23">
        <v>44967</v>
      </c>
      <c r="C137" s="5">
        <v>722483455</v>
      </c>
      <c r="D137" s="5" t="s">
        <v>158</v>
      </c>
      <c r="E137" s="5">
        <v>1</v>
      </c>
      <c r="F137" s="5" t="s">
        <v>26</v>
      </c>
      <c r="G137" s="33">
        <v>1000</v>
      </c>
      <c r="H137" s="33">
        <v>1000</v>
      </c>
      <c r="I137" s="7" t="s">
        <v>18</v>
      </c>
    </row>
    <row r="138" spans="1:9" x14ac:dyDescent="0.25">
      <c r="A138" s="5">
        <v>11</v>
      </c>
      <c r="B138" s="23">
        <v>44967</v>
      </c>
      <c r="C138" s="5">
        <v>137019705</v>
      </c>
      <c r="D138" s="5" t="s">
        <v>61</v>
      </c>
      <c r="E138" s="5">
        <v>1</v>
      </c>
      <c r="F138" s="5" t="s">
        <v>26</v>
      </c>
      <c r="G138" s="33">
        <v>1000</v>
      </c>
      <c r="H138" s="33">
        <v>1000</v>
      </c>
      <c r="I138" s="7" t="s">
        <v>18</v>
      </c>
    </row>
    <row r="139" spans="1:9" x14ac:dyDescent="0.25">
      <c r="A139" s="5">
        <v>12</v>
      </c>
      <c r="B139" s="23">
        <v>44967</v>
      </c>
      <c r="C139" s="5">
        <v>722483455</v>
      </c>
      <c r="D139" s="5" t="s">
        <v>158</v>
      </c>
      <c r="E139" s="5">
        <v>1</v>
      </c>
      <c r="F139" s="5" t="s">
        <v>26</v>
      </c>
      <c r="G139" s="33">
        <v>1000</v>
      </c>
      <c r="H139" s="33">
        <v>1000</v>
      </c>
      <c r="I139" s="7" t="s">
        <v>18</v>
      </c>
    </row>
    <row r="140" spans="1:9" x14ac:dyDescent="0.25">
      <c r="A140" s="5">
        <v>13</v>
      </c>
      <c r="B140" s="23">
        <v>44967</v>
      </c>
      <c r="C140" s="5">
        <v>713758876</v>
      </c>
      <c r="D140" s="5" t="s">
        <v>272</v>
      </c>
      <c r="E140" s="5">
        <v>1</v>
      </c>
      <c r="F140" s="5" t="s">
        <v>172</v>
      </c>
      <c r="G140" s="33">
        <v>400</v>
      </c>
      <c r="H140" s="33">
        <v>400</v>
      </c>
      <c r="I140" s="7" t="s">
        <v>18</v>
      </c>
    </row>
    <row r="141" spans="1:9" x14ac:dyDescent="0.25">
      <c r="A141" s="5">
        <v>14</v>
      </c>
      <c r="B141" s="23">
        <v>44967</v>
      </c>
      <c r="C141" s="5">
        <v>86459921</v>
      </c>
      <c r="D141" s="5" t="s">
        <v>276</v>
      </c>
      <c r="E141" s="5">
        <v>1</v>
      </c>
      <c r="F141" s="5" t="s">
        <v>172</v>
      </c>
      <c r="G141" s="33">
        <v>400</v>
      </c>
      <c r="H141" s="33">
        <v>400</v>
      </c>
      <c r="I141" s="7" t="s">
        <v>18</v>
      </c>
    </row>
    <row r="142" spans="1:9" x14ac:dyDescent="0.25">
      <c r="A142" s="5">
        <v>15</v>
      </c>
      <c r="B142" s="23">
        <v>44968</v>
      </c>
      <c r="C142" s="5">
        <v>659890160</v>
      </c>
      <c r="D142" s="5" t="s">
        <v>316</v>
      </c>
      <c r="E142" s="5">
        <v>1</v>
      </c>
      <c r="F142" s="5" t="s">
        <v>26</v>
      </c>
      <c r="G142" s="33">
        <v>1000</v>
      </c>
      <c r="H142" s="33">
        <v>1000</v>
      </c>
      <c r="I142" s="7" t="s">
        <v>18</v>
      </c>
    </row>
    <row r="143" spans="1:9" x14ac:dyDescent="0.25">
      <c r="A143" s="5">
        <v>16</v>
      </c>
      <c r="B143" s="23">
        <v>44968</v>
      </c>
      <c r="C143" s="5">
        <v>682246906</v>
      </c>
      <c r="D143" s="5" t="s">
        <v>339</v>
      </c>
      <c r="E143" s="5">
        <v>1</v>
      </c>
      <c r="F143" s="5" t="s">
        <v>182</v>
      </c>
      <c r="G143" s="33">
        <v>2000</v>
      </c>
      <c r="H143" s="33">
        <v>2000</v>
      </c>
      <c r="I143" s="7" t="s">
        <v>18</v>
      </c>
    </row>
    <row r="144" spans="1:9" x14ac:dyDescent="0.25">
      <c r="A144" s="5">
        <v>17</v>
      </c>
      <c r="B144" s="23">
        <v>44968</v>
      </c>
      <c r="C144" s="5">
        <v>107822099</v>
      </c>
      <c r="D144" s="5" t="s">
        <v>185</v>
      </c>
      <c r="E144" s="5">
        <v>1</v>
      </c>
      <c r="F144" s="5" t="s">
        <v>182</v>
      </c>
      <c r="G144" s="33">
        <v>2000</v>
      </c>
      <c r="H144" s="33">
        <v>2000</v>
      </c>
      <c r="I144" s="7" t="s">
        <v>23</v>
      </c>
    </row>
    <row r="145" spans="1:9" x14ac:dyDescent="0.25">
      <c r="A145" s="5">
        <v>18</v>
      </c>
      <c r="B145" s="23">
        <v>44968</v>
      </c>
      <c r="C145" s="5">
        <v>107822099</v>
      </c>
      <c r="D145" s="5" t="s">
        <v>185</v>
      </c>
      <c r="E145" s="5">
        <v>1</v>
      </c>
      <c r="F145" s="5" t="s">
        <v>182</v>
      </c>
      <c r="G145" s="33">
        <v>2000</v>
      </c>
      <c r="H145" s="33">
        <v>2000</v>
      </c>
      <c r="I145" s="7" t="s">
        <v>18</v>
      </c>
    </row>
    <row r="146" spans="1:9" x14ac:dyDescent="0.25">
      <c r="A146" s="5">
        <v>19</v>
      </c>
      <c r="B146" s="23">
        <v>44968</v>
      </c>
      <c r="C146" s="5">
        <v>848817032</v>
      </c>
      <c r="D146" s="5" t="s">
        <v>282</v>
      </c>
      <c r="E146" s="5">
        <v>1</v>
      </c>
      <c r="F146" s="5" t="s">
        <v>172</v>
      </c>
      <c r="G146" s="33">
        <v>400</v>
      </c>
      <c r="H146" s="33">
        <v>400</v>
      </c>
      <c r="I146" s="7" t="s">
        <v>18</v>
      </c>
    </row>
    <row r="147" spans="1:9" x14ac:dyDescent="0.25">
      <c r="A147" s="5">
        <v>20</v>
      </c>
      <c r="B147" s="23">
        <v>44968</v>
      </c>
      <c r="C147" s="5">
        <v>171471789</v>
      </c>
      <c r="D147" s="5" t="s">
        <v>190</v>
      </c>
      <c r="E147" s="5">
        <v>1</v>
      </c>
      <c r="F147" s="5" t="s">
        <v>182</v>
      </c>
      <c r="G147" s="33">
        <v>900</v>
      </c>
      <c r="H147" s="33">
        <v>900</v>
      </c>
      <c r="I147" s="7" t="s">
        <v>18</v>
      </c>
    </row>
    <row r="148" spans="1:9" x14ac:dyDescent="0.25">
      <c r="A148" s="5">
        <v>21</v>
      </c>
      <c r="B148" s="23">
        <v>44968</v>
      </c>
      <c r="C148" s="5">
        <v>840623079</v>
      </c>
      <c r="D148" s="5" t="s">
        <v>317</v>
      </c>
      <c r="E148" s="5">
        <v>1</v>
      </c>
      <c r="F148" s="5" t="s">
        <v>188</v>
      </c>
      <c r="G148" s="33">
        <v>700</v>
      </c>
      <c r="H148" s="33">
        <v>700</v>
      </c>
      <c r="I148" s="7" t="s">
        <v>18</v>
      </c>
    </row>
    <row r="149" spans="1:9" x14ac:dyDescent="0.25">
      <c r="A149" s="5">
        <v>22</v>
      </c>
      <c r="B149" s="23">
        <v>44968</v>
      </c>
      <c r="C149" s="5">
        <v>713758876</v>
      </c>
      <c r="D149" s="5" t="s">
        <v>272</v>
      </c>
      <c r="E149" s="5">
        <v>1</v>
      </c>
      <c r="F149" s="5" t="s">
        <v>172</v>
      </c>
      <c r="G149" s="33">
        <v>400</v>
      </c>
      <c r="H149" s="33">
        <v>400</v>
      </c>
      <c r="I149" s="7" t="s">
        <v>18</v>
      </c>
    </row>
    <row r="150" spans="1:9" x14ac:dyDescent="0.25">
      <c r="A150" s="5">
        <v>23</v>
      </c>
      <c r="B150" s="23">
        <v>44974</v>
      </c>
      <c r="C150" s="5">
        <v>660998802</v>
      </c>
      <c r="D150" s="5" t="s">
        <v>467</v>
      </c>
      <c r="E150" s="5">
        <v>1</v>
      </c>
      <c r="F150" s="5" t="s">
        <v>26</v>
      </c>
      <c r="G150" s="33">
        <v>1.4</v>
      </c>
      <c r="H150" s="33">
        <v>1.4</v>
      </c>
      <c r="I150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11"/>
  <sheetViews>
    <sheetView workbookViewId="0">
      <selection activeCell="F3" sqref="F3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55551.4</v>
      </c>
    </row>
    <row r="5" spans="2:10" x14ac:dyDescent="0.25">
      <c r="C5" s="23">
        <v>44974</v>
      </c>
      <c r="D5" s="10">
        <f>SUMIFS(TABLA_CIERRES[PRETIO TOTAL],TABLA_CIERRES[FORMA DE PAGO],"Efectivo",TABLA_CIERRES[Fecha],Tabla5[[#This Row],[FECHA]])</f>
        <v>1.4</v>
      </c>
      <c r="E5" s="10">
        <f>SUMIFS(TABLA_CIERRES[PRETIO TOTAL],TABLA_CIERRES[FORMA DE PAGO],"TARJETA",TABLA_CIERRES[Fecha],Tabla5[[#This Row],[FECHA]])</f>
        <v>0</v>
      </c>
      <c r="F5" s="15">
        <f>SUMIFS(TABLA_CIERRES[PRETIO TOTAL],TABLA_CIERRES[FORMA DE PAGO],"TRANSFERENCIA",TABLA_CIERRES[Fecha],Tabla5[[#This Row],[FECHA]])</f>
        <v>0</v>
      </c>
      <c r="G5" s="10">
        <v>600</v>
      </c>
      <c r="H5" s="10">
        <f>(Tabla5[[#This Row],[EFECTIVO]]+Tabla5[[#This Row],[TARJETA]]+Tabla5[[#This Row],[TRANSFERENCIA]])-Tabla5[[#This Row],[GASTO]]</f>
        <v>-598.6</v>
      </c>
      <c r="J5" s="32"/>
    </row>
    <row r="6" spans="2:10" x14ac:dyDescent="0.25">
      <c r="C6" s="23">
        <v>44966</v>
      </c>
      <c r="D6" s="10">
        <f>SUMIFS(TABLA_CIERRES[PRETIO TOTAL],TABLA_CIERRES[FORMA DE PAGO],"Efectivo",TABLA_CIERRES[Fecha],Tabla5[[#This Row],[FECHA]])</f>
        <v>6600</v>
      </c>
      <c r="E6" s="10">
        <f>SUMIFS(TABLA_CIERRES[PRETIO TOTAL],TABLA_CIERRES[FORMA DE PAGO],"TARJETA",TABLA_CIERRES[Fecha],Tabla5[[#This Row],[FECHA]])</f>
        <v>1800</v>
      </c>
      <c r="F6" s="15">
        <f>SUMIFS(TABLA_CIERRES[PRETIO TOTAL],TABLA_CIERRES[FORMA DE PAGO],"TRANSFERENCIA",TABLA_CIERRES[Fecha],Tabla5[[#This Row],[FECHA]])</f>
        <v>0</v>
      </c>
      <c r="G6" s="10">
        <v>2750</v>
      </c>
      <c r="H6" s="10">
        <f>(Tabla5[[#This Row],[EFECTIVO]]+Tabla5[[#This Row],[TARJETA]]+Tabla5[[#This Row],[TRANSFERENCIA]])-Tabla5[[#This Row],[GASTO]]</f>
        <v>5650</v>
      </c>
      <c r="J6" s="32"/>
    </row>
    <row r="7" spans="2:10" x14ac:dyDescent="0.25">
      <c r="C7" s="23">
        <v>44965</v>
      </c>
      <c r="D7" s="10">
        <f>SUMIFS(TABLA_CIERRES[PRETIO TOTAL],TABLA_CIERRES[FORMA DE PAGO],"Efectivo",TABLA_CIERRES[Fecha],Tabla5[[#This Row],[FECHA]])</f>
        <v>4300</v>
      </c>
      <c r="E7" s="10">
        <f>SUMIFS(TABLA_CIERRES[PRETIO TOTAL],TABLA_CIERRES[FORMA DE PAGO],"TARJETA",TABLA_CIERRES[Fecha],Tabla5[[#This Row],[FECHA]])</f>
        <v>5500</v>
      </c>
      <c r="F7" s="15">
        <f>SUMIFS(TABLA_CIERRES[PRETIO TOTAL],TABLA_CIERRES[FORMA DE PAGO],"TRANSFERENCIA",TABLA_CIERRES[Fecha],Tabla5[[#This Row],[FECHA]])</f>
        <v>0</v>
      </c>
      <c r="G7" s="10">
        <v>4400</v>
      </c>
      <c r="H7" s="10">
        <f>(Tabla5[[#This Row],[EFECTIVO]]+Tabla5[[#This Row],[TARJETA]]+Tabla5[[#This Row],[TRANSFERENCIA]])-Tabla5[[#This Row],[GASTO]]</f>
        <v>5400</v>
      </c>
      <c r="J7" s="32"/>
    </row>
    <row r="8" spans="2:10" x14ac:dyDescent="0.25">
      <c r="C8" s="23">
        <v>44964</v>
      </c>
      <c r="D8" s="10">
        <f>SUMIFS(TABLA_CIERRES[PRETIO TOTAL],TABLA_CIERRES[FORMA DE PAGO],"Efectivo",TABLA_CIERRES[Fecha],Tabla5[[#This Row],[FECHA]])</f>
        <v>6300</v>
      </c>
      <c r="E8" s="10">
        <f>SUMIFS(TABLA_CIERRES[PRETIO TOTAL],TABLA_CIERRES[FORMA DE PAGO],"TARJETA",TABLA_CIERRES[Fecha],Tabla5[[#This Row],[FECHA]])</f>
        <v>3000</v>
      </c>
      <c r="F8" s="15">
        <f>SUMIFS(TABLA_CIERRES[PRETIO TOTAL],TABLA_CIERRES[FORMA DE PAGO],"TRANSFERENCIA",TABLA_CIERRES[Fecha],Tabla5[[#This Row],[FECHA]])</f>
        <v>2200</v>
      </c>
      <c r="G8" s="10">
        <v>5200</v>
      </c>
      <c r="H8" s="10">
        <f>(Tabla5[[#This Row],[EFECTIVO]]+Tabla5[[#This Row],[TARJETA]]+Tabla5[[#This Row],[TRANSFERENCIA]])-Tabla5[[#This Row],[GASTO]]</f>
        <v>6300</v>
      </c>
      <c r="J8" s="32"/>
    </row>
    <row r="9" spans="2:10" x14ac:dyDescent="0.25">
      <c r="C9" s="23">
        <v>44960</v>
      </c>
      <c r="D9" s="10">
        <f>SUMIFS(TABLA_CIERRES[PRETIO TOTAL],TABLA_CIERRES[FORMA DE PAGO],"Efectivo",TABLA_CIERRES[Fecha],Tabla5[[#This Row],[FECHA]])</f>
        <v>26500</v>
      </c>
      <c r="E9" s="10">
        <f>SUMIFS(TABLA_CIERRES[PRETIO TOTAL],TABLA_CIERRES[FORMA DE PAGO],"TARJETA",TABLA_CIERRES[Fecha],Tabla5[[#This Row],[FECHA]])</f>
        <v>3200</v>
      </c>
      <c r="F9" s="15">
        <f>SUMIFS(TABLA_CIERRES[PRETIO TOTAL],TABLA_CIERRES[FORMA DE PAGO],"TRANSFERENCIA",TABLA_CIERRES[Fecha],Tabla5[[#This Row],[FECHA]])</f>
        <v>400</v>
      </c>
      <c r="G9" s="10">
        <v>12500</v>
      </c>
      <c r="H9" s="10">
        <f>(Tabla5[[#This Row],[EFECTIVO]]+Tabla5[[#This Row],[TARJETA]]+Tabla5[[#This Row],[TRANSFERENCIA]])-Tabla5[[#This Row],[GASTO]]</f>
        <v>17600</v>
      </c>
    </row>
    <row r="10" spans="2:10" x14ac:dyDescent="0.25">
      <c r="C10" s="23">
        <v>44959</v>
      </c>
      <c r="D10" s="10">
        <f>SUMIFS(TABLA_CIERRES[PRETIO TOTAL],TABLA_CIERRES[FORMA DE PAGO],"Efectivo",TABLA_CIERRES[Fecha],Tabla5[[#This Row],[FECHA]])</f>
        <v>7900</v>
      </c>
      <c r="E10" s="10">
        <f>SUMIFS(TABLA_CIERRES[PRETIO TOTAL],TABLA_CIERRES[FORMA DE PAGO],"TARJETA",TABLA_CIERRES[Fecha],Tabla5[[#This Row],[FECHA]])</f>
        <v>0</v>
      </c>
      <c r="F10" s="15">
        <f>SUMIFS(TABLA_CIERRES[PRETIO TOTAL],TABLA_CIERRES[FORMA DE PAGO],"TRANSFERENCIA",TABLA_CIERRES[Fecha],Tabla5[[#This Row],[FECHA]])</f>
        <v>0</v>
      </c>
      <c r="G10" s="10">
        <v>2800</v>
      </c>
      <c r="H10" s="10">
        <f>(Tabla5[[#This Row],[EFECTIVO]]+Tabla5[[#This Row],[TARJETA]]+Tabla5[[#This Row],[TRANSFERENCIA]])-Tabla5[[#This Row],[GASTO]]</f>
        <v>5100</v>
      </c>
    </row>
    <row r="11" spans="2:10" x14ac:dyDescent="0.25">
      <c r="C11" s="23">
        <v>44958</v>
      </c>
      <c r="D11" s="10">
        <f>SUMIFS(TABLA_CIERRES[PRETIO TOTAL],TABLA_CIERRES[FORMA DE PAGO],"Efectivo",TABLA_CIERRES[Fecha],Tabla5[[#This Row],[FECHA]])</f>
        <v>6400</v>
      </c>
      <c r="E11" s="10">
        <f>SUMIFS(TABLA_CIERRES[PRETIO TOTAL],TABLA_CIERRES[FORMA DE PAGO],"TARJETA",TABLA_CIERRES[Fecha],Tabla5[[#This Row],[FECHA]])</f>
        <v>5200</v>
      </c>
      <c r="F11" s="15">
        <f>SUMIFS(TABLA_CIERRES[PRETIO TOTAL],TABLA_CIERRES[FORMA DE PAGO],"TRANSFERENCIA",TABLA_CIERRES[Fecha],Tabla5[[#This Row],[FECHA]])</f>
        <v>0</v>
      </c>
      <c r="G11" s="10">
        <v>5500</v>
      </c>
      <c r="H11" s="10">
        <f>(Tabla5[[#This Row],[EFECTIVO]]+Tabla5[[#This Row],[TARJETA]]+Tabla5[[#This Row],[TRANSFERENCIA]])-Tabla5[[#This Row],[GASTO]]</f>
        <v>6100</v>
      </c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2023-02-18T02:14:35Z</dcterms:modified>
</cp:coreProperties>
</file>