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219FA9EA-4442-48E3-BA7E-38CE204630B7}" xr6:coauthVersionLast="47" xr6:coauthVersionMax="47" xr10:uidLastSave="{00000000-0000-0000-0000-000000000000}"/>
  <bookViews>
    <workbookView xWindow="1455" yWindow="165" windowWidth="17715" windowHeight="10380" activeTab="3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J3" i="2"/>
  <c r="D5" i="5" l="1"/>
  <c r="E5" i="5"/>
  <c r="F5" i="5"/>
  <c r="H5" i="5" l="1"/>
  <c r="D6" i="5"/>
  <c r="E6" i="5"/>
  <c r="F6" i="5"/>
  <c r="H4" i="2"/>
  <c r="J4" i="2"/>
  <c r="H5" i="2"/>
  <c r="J5" i="2"/>
  <c r="H6" i="5" l="1"/>
  <c r="D7" i="5"/>
  <c r="E7" i="5"/>
  <c r="F7" i="5"/>
  <c r="H6" i="2"/>
  <c r="J6" i="2"/>
  <c r="H7" i="5" l="1"/>
  <c r="H435" i="2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D4" i="5"/>
  <c r="E4" i="5"/>
  <c r="F4" i="5"/>
  <c r="H4" i="5" l="1"/>
  <c r="D8" i="5"/>
  <c r="E8" i="5"/>
  <c r="F8" i="5"/>
  <c r="H328" i="2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8" i="5" l="1"/>
  <c r="H309" i="2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D9" i="5" l="1"/>
  <c r="E9" i="5"/>
  <c r="F9" i="5"/>
  <c r="H266" i="2"/>
  <c r="J266" i="2"/>
  <c r="H265" i="2"/>
  <c r="J265" i="2"/>
  <c r="H9" i="5" l="1"/>
  <c r="J264" i="2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D10" i="5" l="1"/>
  <c r="E10" i="5"/>
  <c r="F10" i="5"/>
  <c r="H242" i="2"/>
  <c r="H10" i="5" l="1"/>
  <c r="H241" i="2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<sst xmlns="http://schemas.openxmlformats.org/spreadsheetml/2006/main" count="1491" uniqueCount="473">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</sst>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3" totalsRowShown="0" dataDxfId="30">
  <autoFilter ref="A1:I23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0" totalsRowShown="0" headerRowDxfId="10" dataDxfId="9">
  <autoFilter ref="C3:H10" xr:uid="{00000000-0009-0000-0100-000005000000}"/>
  <tableColumns count="6">
    <tableColumn id="1" xr3:uid="{00000000-0010-0000-0400-000001000000}" name="FECHA" dataDxfId="8"/>
    <tableColumn id="3" xr3:uid="{00000000-0010-0000-0400-000003000000}" name="EFECTIVO" dataDxfId="7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6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5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4"/>
    <tableColumn id="2" xr3:uid="{00000000-0010-0000-0400-000002000000}" name="GANACIA" dataDxfId="3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2" dataDxfId="1">
  <autoFilter ref="J3:J4" xr:uid="{00000000-0009-0000-0100-000006000000}"/>
  <tableColumns count="1">
    <tableColumn id="1" xr3:uid="{00000000-0010-0000-0500-000001000000}" name="TOTAL DE GANANCIAS " dataDxfId="0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23</v>
      </c>
      <c r="B1" s="13">
        <f>MAX(Tabla2[Nro])+1</f>
        <v>462</v>
      </c>
      <c r="C1" s="24">
        <f ca="1">TODAY()</f>
        <v>44968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zoomScale="82" zoomScaleNormal="82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2" max="4" width="28.42578125" style="3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7.5703125" style="29" bestFit="1" customWidth="1"/>
    <col min="10" max="10" width="15.570312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42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3"/>
  <sheetViews>
    <sheetView zoomScale="87" zoomScaleNormal="87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44967</v>
      </c>
      <c r="C2" s="5">
        <v>713758876</v>
      </c>
      <c r="D2" s="5" t="s">
        <v>272</v>
      </c>
      <c r="E2" s="8">
        <v>1</v>
      </c>
      <c r="F2" s="20" t="s">
        <v>172</v>
      </c>
      <c r="G2" s="33">
        <v>400</v>
      </c>
      <c r="H2" s="33">
        <v>400</v>
      </c>
      <c r="I2" s="8" t="s">
        <v>18</v>
      </c>
    </row>
    <row r="3" spans="1:9" x14ac:dyDescent="0.25">
      <c r="A3" s="19">
        <v>2</v>
      </c>
      <c r="B3" s="11">
        <v>44967</v>
      </c>
      <c r="C3" s="5">
        <v>200260895</v>
      </c>
      <c r="D3" s="5" t="s">
        <v>471</v>
      </c>
      <c r="E3" s="8">
        <v>1</v>
      </c>
      <c r="F3" s="20" t="s">
        <v>26</v>
      </c>
      <c r="G3" s="33">
        <v>1400</v>
      </c>
      <c r="H3" s="33">
        <v>1400</v>
      </c>
      <c r="I3" s="8" t="s">
        <v>24</v>
      </c>
    </row>
    <row r="4" spans="1:9" x14ac:dyDescent="0.25">
      <c r="A4" s="19">
        <v>3</v>
      </c>
      <c r="B4" s="11">
        <v>44967</v>
      </c>
      <c r="C4" s="5">
        <v>682246906</v>
      </c>
      <c r="D4" s="5" t="s">
        <v>339</v>
      </c>
      <c r="E4" s="8">
        <v>1</v>
      </c>
      <c r="F4" s="20" t="s">
        <v>182</v>
      </c>
      <c r="G4" s="33">
        <v>2000</v>
      </c>
      <c r="H4" s="33">
        <v>2000</v>
      </c>
      <c r="I4" s="8" t="s">
        <v>18</v>
      </c>
    </row>
    <row r="5" spans="1:9" x14ac:dyDescent="0.25">
      <c r="A5" s="19">
        <v>4</v>
      </c>
      <c r="B5" s="11">
        <v>44967</v>
      </c>
      <c r="C5" s="5">
        <v>107822099</v>
      </c>
      <c r="D5" s="5" t="s">
        <v>185</v>
      </c>
      <c r="E5" s="8">
        <v>1</v>
      </c>
      <c r="F5" s="20" t="s">
        <v>182</v>
      </c>
      <c r="G5" s="33">
        <v>2000</v>
      </c>
      <c r="H5" s="33">
        <v>2000</v>
      </c>
      <c r="I5" s="8" t="s">
        <v>18</v>
      </c>
    </row>
    <row r="6" spans="1:9" x14ac:dyDescent="0.25">
      <c r="A6" s="19">
        <v>5</v>
      </c>
      <c r="B6" s="11">
        <v>44967</v>
      </c>
      <c r="C6" s="5">
        <v>171471790</v>
      </c>
      <c r="D6" s="5" t="s">
        <v>277</v>
      </c>
      <c r="E6" s="8">
        <v>1</v>
      </c>
      <c r="F6" s="20" t="s">
        <v>172</v>
      </c>
      <c r="G6" s="33">
        <v>400</v>
      </c>
      <c r="H6" s="33">
        <v>400</v>
      </c>
      <c r="I6" s="8" t="s">
        <v>18</v>
      </c>
    </row>
    <row r="7" spans="1:9" x14ac:dyDescent="0.25">
      <c r="A7" s="19">
        <v>6</v>
      </c>
      <c r="B7" s="11">
        <v>44967</v>
      </c>
      <c r="C7" s="5">
        <v>107822099</v>
      </c>
      <c r="D7" s="5" t="s">
        <v>185</v>
      </c>
      <c r="E7" s="8">
        <v>1</v>
      </c>
      <c r="F7" s="20" t="s">
        <v>182</v>
      </c>
      <c r="G7" s="33">
        <v>2000</v>
      </c>
      <c r="H7" s="33">
        <v>2000</v>
      </c>
      <c r="I7" s="8" t="s">
        <v>18</v>
      </c>
    </row>
    <row r="8" spans="1:9" x14ac:dyDescent="0.25">
      <c r="A8" s="19">
        <v>7</v>
      </c>
      <c r="B8" s="11">
        <v>44967</v>
      </c>
      <c r="C8" s="5">
        <v>133540647</v>
      </c>
      <c r="D8" s="5" t="s">
        <v>197</v>
      </c>
      <c r="E8" s="8">
        <v>1</v>
      </c>
      <c r="F8" s="20" t="s">
        <v>188</v>
      </c>
      <c r="G8" s="33">
        <v>900</v>
      </c>
      <c r="H8" s="33">
        <v>900</v>
      </c>
      <c r="I8" s="8" t="s">
        <v>18</v>
      </c>
    </row>
    <row r="9" spans="1:9" x14ac:dyDescent="0.25">
      <c r="A9" s="19">
        <v>8</v>
      </c>
      <c r="B9" s="11">
        <v>44967</v>
      </c>
      <c r="C9" s="5">
        <v>86459921</v>
      </c>
      <c r="D9" s="5" t="s">
        <v>276</v>
      </c>
      <c r="E9" s="8">
        <v>1</v>
      </c>
      <c r="F9" s="20" t="s">
        <v>172</v>
      </c>
      <c r="G9" s="33">
        <v>400</v>
      </c>
      <c r="H9" s="33">
        <v>400</v>
      </c>
      <c r="I9" s="8" t="s">
        <v>18</v>
      </c>
    </row>
    <row r="10" spans="1:9" x14ac:dyDescent="0.25">
      <c r="A10" s="19">
        <v>9</v>
      </c>
      <c r="B10" s="11">
        <v>44967</v>
      </c>
      <c r="C10" s="5">
        <v>554180811</v>
      </c>
      <c r="D10" s="5" t="s">
        <v>147</v>
      </c>
      <c r="E10" s="8">
        <v>1</v>
      </c>
      <c r="F10" s="20" t="s">
        <v>26</v>
      </c>
      <c r="G10" s="33">
        <v>600</v>
      </c>
      <c r="H10" s="33">
        <v>600</v>
      </c>
      <c r="I10" s="8" t="s">
        <v>18</v>
      </c>
    </row>
    <row r="11" spans="1:9" x14ac:dyDescent="0.25">
      <c r="A11" s="19">
        <v>10</v>
      </c>
      <c r="B11" s="11">
        <v>44967</v>
      </c>
      <c r="C11" s="5">
        <v>722483455</v>
      </c>
      <c r="D11" s="5" t="s">
        <v>158</v>
      </c>
      <c r="E11" s="8">
        <v>1</v>
      </c>
      <c r="F11" s="20" t="s">
        <v>26</v>
      </c>
      <c r="G11" s="33">
        <v>1000</v>
      </c>
      <c r="H11" s="33">
        <v>1000</v>
      </c>
      <c r="I11" s="8" t="s">
        <v>18</v>
      </c>
    </row>
    <row r="12" spans="1:9" x14ac:dyDescent="0.25">
      <c r="A12" s="19">
        <v>11</v>
      </c>
      <c r="B12" s="11">
        <v>44967</v>
      </c>
      <c r="C12" s="5">
        <v>137019705</v>
      </c>
      <c r="D12" s="5" t="s">
        <v>61</v>
      </c>
      <c r="E12" s="8">
        <v>1</v>
      </c>
      <c r="F12" s="20" t="s">
        <v>26</v>
      </c>
      <c r="G12" s="33">
        <v>1000</v>
      </c>
      <c r="H12" s="33">
        <v>1000</v>
      </c>
      <c r="I12" s="8" t="s">
        <v>18</v>
      </c>
    </row>
    <row r="13" spans="1:9" x14ac:dyDescent="0.25">
      <c r="A13" s="19">
        <v>12</v>
      </c>
      <c r="B13" s="11">
        <v>44967</v>
      </c>
      <c r="C13" s="5">
        <v>722483455</v>
      </c>
      <c r="D13" s="5" t="s">
        <v>158</v>
      </c>
      <c r="E13" s="8">
        <v>1</v>
      </c>
      <c r="F13" s="20" t="s">
        <v>26</v>
      </c>
      <c r="G13" s="33">
        <v>1000</v>
      </c>
      <c r="H13" s="33">
        <v>1000</v>
      </c>
      <c r="I13" s="8" t="s">
        <v>18</v>
      </c>
    </row>
    <row r="14" spans="1:9" x14ac:dyDescent="0.25">
      <c r="A14" s="19">
        <v>13</v>
      </c>
      <c r="B14" s="11">
        <v>44967</v>
      </c>
      <c r="C14" s="5">
        <v>713758876</v>
      </c>
      <c r="D14" s="5" t="s">
        <v>272</v>
      </c>
      <c r="E14" s="8">
        <v>1</v>
      </c>
      <c r="F14" s="20" t="s">
        <v>172</v>
      </c>
      <c r="G14" s="33">
        <v>400</v>
      </c>
      <c r="H14" s="33">
        <v>400</v>
      </c>
      <c r="I14" s="8" t="s">
        <v>18</v>
      </c>
    </row>
    <row r="15" spans="1:9" x14ac:dyDescent="0.25">
      <c r="A15" s="19">
        <v>14</v>
      </c>
      <c r="B15" s="11">
        <v>44967</v>
      </c>
      <c r="C15" s="5">
        <v>86459921</v>
      </c>
      <c r="D15" s="5" t="s">
        <v>276</v>
      </c>
      <c r="E15" s="8">
        <v>1</v>
      </c>
      <c r="F15" s="20" t="s">
        <v>172</v>
      </c>
      <c r="G15" s="33">
        <v>400</v>
      </c>
      <c r="H15" s="33">
        <v>400</v>
      </c>
      <c r="I15" s="8" t="s">
        <v>18</v>
      </c>
    </row>
    <row r="16" spans="1:9" x14ac:dyDescent="0.25">
      <c r="A16" s="19">
        <v>15</v>
      </c>
      <c r="B16" s="11">
        <v>44968</v>
      </c>
      <c r="C16" s="5">
        <v>659890160</v>
      </c>
      <c r="D16" s="5" t="s">
        <v>316</v>
      </c>
      <c r="E16" s="8">
        <v>1</v>
      </c>
      <c r="F16" s="20" t="s">
        <v>26</v>
      </c>
      <c r="G16" s="33">
        <v>1000</v>
      </c>
      <c r="H16" s="33">
        <v>1000</v>
      </c>
      <c r="I16" s="8" t="s">
        <v>18</v>
      </c>
    </row>
    <row r="17" spans="1:9" x14ac:dyDescent="0.25">
      <c r="A17" s="19">
        <v>16</v>
      </c>
      <c r="B17" s="11">
        <v>44968</v>
      </c>
      <c r="C17" s="5">
        <v>682246906</v>
      </c>
      <c r="D17" s="5" t="s">
        <v>339</v>
      </c>
      <c r="E17" s="8">
        <v>1</v>
      </c>
      <c r="F17" s="20" t="s">
        <v>182</v>
      </c>
      <c r="G17" s="33">
        <v>2000</v>
      </c>
      <c r="H17" s="33">
        <v>2000</v>
      </c>
      <c r="I17" s="8" t="s">
        <v>18</v>
      </c>
    </row>
    <row r="18" spans="1:9" x14ac:dyDescent="0.25">
      <c r="A18" s="19">
        <v>17</v>
      </c>
      <c r="B18" s="11">
        <v>44968</v>
      </c>
      <c r="C18" s="5">
        <v>107822099</v>
      </c>
      <c r="D18" s="5" t="s">
        <v>185</v>
      </c>
      <c r="E18" s="8">
        <v>1</v>
      </c>
      <c r="F18" s="20" t="s">
        <v>182</v>
      </c>
      <c r="G18" s="33">
        <v>2000</v>
      </c>
      <c r="H18" s="33">
        <v>2000</v>
      </c>
      <c r="I18" s="8" t="s">
        <v>23</v>
      </c>
    </row>
    <row r="19" spans="1:9" x14ac:dyDescent="0.25">
      <c r="A19" s="19">
        <v>18</v>
      </c>
      <c r="B19" s="11">
        <v>44968</v>
      </c>
      <c r="C19" s="5">
        <v>107822099</v>
      </c>
      <c r="D19" s="5" t="s">
        <v>185</v>
      </c>
      <c r="E19" s="8">
        <v>1</v>
      </c>
      <c r="F19" s="20" t="s">
        <v>182</v>
      </c>
      <c r="G19" s="33">
        <v>2000</v>
      </c>
      <c r="H19" s="33">
        <v>2000</v>
      </c>
      <c r="I19" s="8" t="s">
        <v>18</v>
      </c>
    </row>
    <row r="20" spans="1:9" x14ac:dyDescent="0.25">
      <c r="A20" s="19">
        <v>19</v>
      </c>
      <c r="B20" s="11">
        <v>44968</v>
      </c>
      <c r="C20" s="5">
        <v>848817032</v>
      </c>
      <c r="D20" s="5" t="s">
        <v>282</v>
      </c>
      <c r="E20" s="8">
        <v>1</v>
      </c>
      <c r="F20" s="20" t="s">
        <v>172</v>
      </c>
      <c r="G20" s="33">
        <v>400</v>
      </c>
      <c r="H20" s="33">
        <v>400</v>
      </c>
      <c r="I20" s="8" t="s">
        <v>18</v>
      </c>
    </row>
    <row r="21" spans="1:9" x14ac:dyDescent="0.25">
      <c r="A21" s="19">
        <v>20</v>
      </c>
      <c r="B21" s="11">
        <v>44968</v>
      </c>
      <c r="C21" s="5">
        <v>171471789</v>
      </c>
      <c r="D21" s="5" t="s">
        <v>190</v>
      </c>
      <c r="E21" s="8">
        <v>1</v>
      </c>
      <c r="F21" s="20" t="s">
        <v>182</v>
      </c>
      <c r="G21" s="33">
        <v>900</v>
      </c>
      <c r="H21" s="33">
        <v>900</v>
      </c>
      <c r="I21" s="8" t="s">
        <v>18</v>
      </c>
    </row>
    <row r="22" spans="1:9" x14ac:dyDescent="0.25">
      <c r="A22" s="19">
        <v>21</v>
      </c>
      <c r="B22" s="11">
        <v>44968</v>
      </c>
      <c r="C22" s="5">
        <v>840623079</v>
      </c>
      <c r="D22" s="5" t="s">
        <v>317</v>
      </c>
      <c r="E22" s="8">
        <v>1</v>
      </c>
      <c r="F22" s="20" t="s">
        <v>188</v>
      </c>
      <c r="G22" s="33">
        <v>700</v>
      </c>
      <c r="H22" s="33">
        <v>700</v>
      </c>
      <c r="I22" s="8" t="s">
        <v>18</v>
      </c>
    </row>
    <row r="23" spans="1:9" x14ac:dyDescent="0.25">
      <c r="A23" s="19">
        <v>22</v>
      </c>
      <c r="B23" s="11">
        <v>44968</v>
      </c>
      <c r="C23" s="5">
        <v>713758876</v>
      </c>
      <c r="D23" s="5" t="s">
        <v>272</v>
      </c>
      <c r="E23" s="8">
        <v>1</v>
      </c>
      <c r="F23" s="20" t="s">
        <v>172</v>
      </c>
      <c r="G23" s="33">
        <v>400</v>
      </c>
      <c r="H23" s="33">
        <v>400</v>
      </c>
      <c r="I23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tabSelected="1" zoomScale="98" zoomScaleNormal="98" workbookViewId="0">
      <selection activeCell="D9" sqref="D9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472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10"/>
  <sheetViews>
    <sheetView workbookViewId="0">
      <selection activeCell="F3" sqref="F3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44966</v>
      </c>
      <c r="D5" s="10">
        <f>SUMIFS(TABLA_CIERRES[PRETIO TOTAL],TABLA_CIERRES[FORMA DE PAGO],"Efectivo",TABLA_CIERRES[Fecha],Tabla5[[#This Row],[FECHA]])</f>
        <v>6600</v>
      </c>
      <c r="E5" s="10">
        <f>SUMIFS(TABLA_CIERRES[PRETIO TOTAL],TABLA_CIERRES[FORMA DE PAGO],"TARJETA",TABLA_CIERRES[Fecha],Tabla5[[#This Row],[FECHA]])</f>
        <v>1800</v>
      </c>
      <c r="F5" s="15">
        <f>SUMIFS(TABLA_CIERRES[PRETIO TOTAL],TABLA_CIERRES[FORMA DE PAGO],"TRANSFERENCIA",TABLA_CIERRES[Fecha],Tabla5[[#This Row],[FECHA]])</f>
        <v>0</v>
      </c>
      <c r="G5" s="10">
        <v>2750</v>
      </c>
      <c r="H5" s="10">
        <f>(Tabla5[[#This Row],[EFECTIVO]]+Tabla5[[#This Row],[TARJETA]]+Tabla5[[#This Row],[TRANSFERENCIA]])-Tabla5[[#This Row],[GASTO]]</f>
        <v>5650</v>
      </c>
      <c r="J5" s="32"/>
    </row>
    <row r="6" spans="2:10" x14ac:dyDescent="0.25">
      <c r="C6" s="23">
        <v>44965</v>
      </c>
      <c r="D6" s="10">
        <f>SUMIFS(TABLA_CIERRES[PRETIO TOTAL],TABLA_CIERRES[FORMA DE PAGO],"Efectivo",TABLA_CIERRES[Fecha],Tabla5[[#This Row],[FECHA]])</f>
        <v>4300</v>
      </c>
      <c r="E6" s="10">
        <f>SUMIFS(TABLA_CIERRES[PRETIO TOTAL],TABLA_CIERRES[FORMA DE PAGO],"TARJETA",TABLA_CIERRES[Fecha],Tabla5[[#This Row],[FECHA]])</f>
        <v>5500</v>
      </c>
      <c r="F6" s="15">
        <f>SUMIFS(TABLA_CIERRES[PRETIO TOTAL],TABLA_CIERRES[FORMA DE PAGO],"TRANSFERENCIA",TABLA_CIERRES[Fecha],Tabla5[[#This Row],[FECHA]])</f>
        <v>0</v>
      </c>
      <c r="G6" s="10">
        <v>4400</v>
      </c>
      <c r="H6" s="10">
        <f>(Tabla5[[#This Row],[EFECTIVO]]+Tabla5[[#This Row],[TARJETA]]+Tabla5[[#This Row],[TRANSFERENCIA]])-Tabla5[[#This Row],[GASTO]]</f>
        <v>5400</v>
      </c>
      <c r="J6" s="32"/>
    </row>
    <row r="7" spans="2:10" x14ac:dyDescent="0.25">
      <c r="C7" s="23">
        <v>44964</v>
      </c>
      <c r="D7" s="10">
        <f>SUMIFS(TABLA_CIERRES[PRETIO TOTAL],TABLA_CIERRES[FORMA DE PAGO],"Efectivo",TABLA_CIERRES[Fecha],Tabla5[[#This Row],[FECHA]])</f>
        <v>6300</v>
      </c>
      <c r="E7" s="10">
        <f>SUMIFS(TABLA_CIERRES[PRETIO TOTAL],TABLA_CIERRES[FORMA DE PAGO],"TARJETA",TABLA_CIERRES[Fecha],Tabla5[[#This Row],[FECHA]])</f>
        <v>3000</v>
      </c>
      <c r="F7" s="15">
        <f>SUMIFS(TABLA_CIERRES[PRETIO TOTAL],TABLA_CIERRES[FORMA DE PAGO],"TRANSFERENCIA",TABLA_CIERRES[Fecha],Tabla5[[#This Row],[FECHA]])</f>
        <v>2200</v>
      </c>
      <c r="G7" s="10">
        <v>5200</v>
      </c>
      <c r="H7" s="10">
        <f>(Tabla5[[#This Row],[EFECTIVO]]+Tabla5[[#This Row],[TARJETA]]+Tabla5[[#This Row],[TRANSFERENCIA]])-Tabla5[[#This Row],[GASTO]]</f>
        <v>6300</v>
      </c>
      <c r="J7" s="32"/>
    </row>
    <row r="8" spans="2:10" x14ac:dyDescent="0.25">
      <c r="C8" s="23">
        <v>44960</v>
      </c>
      <c r="D8" s="10">
        <f>SUMIFS(TABLA_CIERRES[PRETIO TOTAL],TABLA_CIERRES[FORMA DE PAGO],"Efectivo",TABLA_CIERRES[Fecha],Tabla5[[#This Row],[FECHA]])</f>
        <v>26500</v>
      </c>
      <c r="E8" s="10">
        <f>SUMIFS(TABLA_CIERRES[PRETIO TOTAL],TABLA_CIERRES[FORMA DE PAGO],"TARJETA",TABLA_CIERRES[Fecha],Tabla5[[#This Row],[FECHA]])</f>
        <v>3200</v>
      </c>
      <c r="F8" s="15">
        <f>SUMIFS(TABLA_CIERRES[PRETIO TOTAL],TABLA_CIERRES[FORMA DE PAGO],"TRANSFERENCIA",TABLA_CIERRES[Fecha],Tabla5[[#This Row],[FECHA]])</f>
        <v>400</v>
      </c>
      <c r="G8" s="10">
        <v>12500</v>
      </c>
      <c r="H8" s="10">
        <f>(Tabla5[[#This Row],[EFECTIVO]]+Tabla5[[#This Row],[TARJETA]]+Tabla5[[#This Row],[TRANSFERENCIA]])-Tabla5[[#This Row],[GASTO]]</f>
        <v>17600</v>
      </c>
    </row>
    <row r="9" spans="2:10" x14ac:dyDescent="0.25">
      <c r="C9" s="23">
        <v>44959</v>
      </c>
      <c r="D9" s="10">
        <f>SUMIFS(TABLA_CIERRES[PRETIO TOTAL],TABLA_CIERRES[FORMA DE PAGO],"Efectivo",TABLA_CIERRES[Fecha],Tabla5[[#This Row],[FECHA]])</f>
        <v>7900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>
        <v>2800</v>
      </c>
      <c r="H9" s="10">
        <f>(Tabla5[[#This Row],[EFECTIVO]]+Tabla5[[#This Row],[TARJETA]]+Tabla5[[#This Row],[TRANSFERENCIA]])-Tabla5[[#This Row],[GASTO]]</f>
        <v>5100</v>
      </c>
    </row>
    <row r="10" spans="2:10" x14ac:dyDescent="0.25">
      <c r="C10" s="23">
        <v>44958</v>
      </c>
      <c r="D10" s="10">
        <f>SUMIFS(TABLA_CIERRES[PRETIO TOTAL],TABLA_CIERRES[FORMA DE PAGO],"Efectivo",TABLA_CIERRES[Fecha],Tabla5[[#This Row],[FECHA]])</f>
        <v>6400</v>
      </c>
      <c r="E10" s="10">
        <f>SUMIFS(TABLA_CIERRES[PRETIO TOTAL],TABLA_CIERRES[FORMA DE PAGO],"TARJETA",TABLA_CIERRES[Fecha],Tabla5[[#This Row],[FECHA]])</f>
        <v>5200</v>
      </c>
      <c r="F10" s="15">
        <f>SUMIFS(TABLA_CIERRES[PRETIO TOTAL],TABLA_CIERRES[FORMA DE PAGO],"TRANSFERENCIA",TABLA_CIERRES[Fecha],Tabla5[[#This Row],[FECHA]])</f>
        <v>0</v>
      </c>
      <c r="G10" s="10">
        <v>5500</v>
      </c>
      <c r="H10" s="10">
        <f>(Tabla5[[#This Row],[EFECTIVO]]+Tabla5[[#This Row],[TARJETA]]+Tabla5[[#This Row],[TRANSFERENCIA]])-Tabla5[[#This Row],[GASTO]]</f>
        <v>6100</v>
      </c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2023-02-11T18:24:34Z</dcterms:modified>
</cp:coreProperties>
</file>