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El Mundo Del Celular - Gestion\App Definitiva\"/>
    </mc:Choice>
  </mc:AlternateContent>
  <xr:revisionPtr revIDLastSave="0" documentId="13_ncr:1_{ADB3D709-BE7F-41EF-9F5E-A2AC319C19BF}" xr6:coauthVersionLast="47" xr6:coauthVersionMax="47" xr10:uidLastSave="{00000000-0000-0000-0000-000000000000}"/>
  <bookViews>
    <workbookView xWindow="1740" yWindow="525" windowWidth="17715" windowHeight="10380" activeTab="3" xr2:uid="{00000000-000D-0000-FFFF-FFFF00000000}"/>
  </bookViews>
  <sheets>
    <sheet name="CIERRE" sheetId="1" r:id="rId1"/>
    <sheet name="PRODUCTOS" sheetId="2" r:id="rId2"/>
    <sheet name="VENTAS" sheetId="3" r:id="rId3"/>
    <sheet name="TOTAL" sheetId="4" r:id="rId4"/>
    <sheet name="ESTADISTICAS" sheetId="5" r:id="rId5"/>
  </sheets>
  <functionGroups builtInGroupCount="19"/>
  <definedNames>
    <definedName name="_xlnm._FilterDatabase" localSheetId="0" hidden="1">CIERRE!#REF!</definedName>
    <definedName name="_xlnm._FilterDatabase" localSheetId="1" hidden="1">PRODUCTOS!$B$1:$J$435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2" l="1"/>
  <c r="J3" i="2"/>
  <c r="D5" i="5" l="1"/>
  <c r="E5" i="5"/>
  <c r="F5" i="5"/>
  <c r="H5" i="5" l="1"/>
  <c r="D6" i="5"/>
  <c r="E6" i="5"/>
  <c r="F6" i="5"/>
  <c r="H4" i="2"/>
  <c r="J4" i="2"/>
  <c r="H5" i="2"/>
  <c r="J5" i="2"/>
  <c r="H6" i="5" l="1"/>
  <c r="D7" i="5"/>
  <c r="E7" i="5"/>
  <c r="F7" i="5"/>
  <c r="H6" i="2"/>
  <c r="J6" i="2"/>
  <c r="H7" i="5" l="1"/>
  <c r="H435" i="2"/>
  <c r="J435" i="2"/>
  <c r="H434" i="2"/>
  <c r="J434" i="2"/>
  <c r="H433" i="2"/>
  <c r="J433" i="2"/>
  <c r="H432" i="2"/>
  <c r="J432" i="2"/>
  <c r="H431" i="2"/>
  <c r="J431" i="2"/>
  <c r="H430" i="2"/>
  <c r="J430" i="2"/>
  <c r="H429" i="2"/>
  <c r="J429" i="2"/>
  <c r="H428" i="2"/>
  <c r="J428" i="2"/>
  <c r="H427" i="2"/>
  <c r="J427" i="2"/>
  <c r="H426" i="2"/>
  <c r="J426" i="2"/>
  <c r="H425" i="2"/>
  <c r="J425" i="2"/>
  <c r="H424" i="2"/>
  <c r="J424" i="2"/>
  <c r="H423" i="2"/>
  <c r="J423" i="2"/>
  <c r="H422" i="2"/>
  <c r="J422" i="2"/>
  <c r="H421" i="2"/>
  <c r="J421" i="2"/>
  <c r="H420" i="2"/>
  <c r="J420" i="2"/>
  <c r="H419" i="2"/>
  <c r="J419" i="2"/>
  <c r="H418" i="2"/>
  <c r="J418" i="2"/>
  <c r="H417" i="2"/>
  <c r="J417" i="2"/>
  <c r="H416" i="2"/>
  <c r="J416" i="2"/>
  <c r="H415" i="2"/>
  <c r="J415" i="2"/>
  <c r="H414" i="2"/>
  <c r="J414" i="2"/>
  <c r="H413" i="2"/>
  <c r="J413" i="2"/>
  <c r="H412" i="2"/>
  <c r="J412" i="2"/>
  <c r="H411" i="2"/>
  <c r="J411" i="2"/>
  <c r="H410" i="2"/>
  <c r="J410" i="2"/>
  <c r="H409" i="2"/>
  <c r="J409" i="2"/>
  <c r="H408" i="2"/>
  <c r="J408" i="2"/>
  <c r="H407" i="2" l="1"/>
  <c r="J407" i="2"/>
  <c r="H406" i="2"/>
  <c r="J406" i="2"/>
  <c r="H405" i="2"/>
  <c r="J405" i="2"/>
  <c r="H404" i="2"/>
  <c r="J404" i="2"/>
  <c r="H403" i="2"/>
  <c r="J403" i="2"/>
  <c r="H402" i="2"/>
  <c r="J402" i="2"/>
  <c r="H401" i="2"/>
  <c r="J401" i="2"/>
  <c r="H400" i="2"/>
  <c r="J400" i="2"/>
  <c r="H399" i="2"/>
  <c r="J399" i="2"/>
  <c r="H398" i="2"/>
  <c r="J398" i="2"/>
  <c r="H397" i="2" l="1"/>
  <c r="J397" i="2"/>
  <c r="H396" i="2"/>
  <c r="J396" i="2"/>
  <c r="H395" i="2"/>
  <c r="J395" i="2"/>
  <c r="H394" i="2"/>
  <c r="J394" i="2"/>
  <c r="H393" i="2"/>
  <c r="J393" i="2"/>
  <c r="H392" i="2"/>
  <c r="J392" i="2"/>
  <c r="H391" i="2"/>
  <c r="J391" i="2"/>
  <c r="H390" i="2"/>
  <c r="J390" i="2"/>
  <c r="H389" i="2"/>
  <c r="J389" i="2"/>
  <c r="H388" i="2"/>
  <c r="J388" i="2"/>
  <c r="H387" i="2" l="1"/>
  <c r="J387" i="2"/>
  <c r="H386" i="2"/>
  <c r="J386" i="2"/>
  <c r="H385" i="2"/>
  <c r="J385" i="2"/>
  <c r="H384" i="2"/>
  <c r="J384" i="2"/>
  <c r="H383" i="2" l="1"/>
  <c r="J383" i="2"/>
  <c r="H382" i="2"/>
  <c r="J382" i="2"/>
  <c r="H381" i="2"/>
  <c r="J381" i="2"/>
  <c r="H380" i="2"/>
  <c r="J380" i="2"/>
  <c r="H379" i="2"/>
  <c r="J379" i="2"/>
  <c r="H378" i="2"/>
  <c r="J378" i="2"/>
  <c r="H377" i="2"/>
  <c r="J377" i="2"/>
  <c r="H376" i="2"/>
  <c r="J376" i="2"/>
  <c r="H375" i="2"/>
  <c r="J375" i="2"/>
  <c r="H374" i="2"/>
  <c r="J374" i="2"/>
  <c r="H373" i="2"/>
  <c r="J373" i="2"/>
  <c r="H372" i="2"/>
  <c r="J372" i="2"/>
  <c r="H371" i="2"/>
  <c r="J371" i="2"/>
  <c r="H370" i="2"/>
  <c r="J370" i="2"/>
  <c r="H369" i="2" l="1"/>
  <c r="J369" i="2"/>
  <c r="H368" i="2"/>
  <c r="J368" i="2"/>
  <c r="H367" i="2"/>
  <c r="J367" i="2"/>
  <c r="H366" i="2"/>
  <c r="J366" i="2"/>
  <c r="H365" i="2"/>
  <c r="J365" i="2"/>
  <c r="H364" i="2"/>
  <c r="J364" i="2"/>
  <c r="H363" i="2"/>
  <c r="J363" i="2"/>
  <c r="H362" i="2"/>
  <c r="J362" i="2"/>
  <c r="H361" i="2"/>
  <c r="J361" i="2"/>
  <c r="H360" i="2"/>
  <c r="J360" i="2"/>
  <c r="H359" i="2"/>
  <c r="J359" i="2"/>
  <c r="H358" i="2"/>
  <c r="J358" i="2"/>
  <c r="H357" i="2"/>
  <c r="J357" i="2"/>
  <c r="H356" i="2"/>
  <c r="J356" i="2"/>
  <c r="H355" i="2"/>
  <c r="J355" i="2"/>
  <c r="H354" i="2"/>
  <c r="J354" i="2"/>
  <c r="H353" i="2"/>
  <c r="J353" i="2"/>
  <c r="H352" i="2" l="1"/>
  <c r="J352" i="2"/>
  <c r="H351" i="2"/>
  <c r="J351" i="2"/>
  <c r="H350" i="2"/>
  <c r="J350" i="2"/>
  <c r="H349" i="2"/>
  <c r="J349" i="2"/>
  <c r="H348" i="2"/>
  <c r="J348" i="2"/>
  <c r="H347" i="2"/>
  <c r="J347" i="2"/>
  <c r="H346" i="2"/>
  <c r="J346" i="2"/>
  <c r="H345" i="2"/>
  <c r="J345" i="2"/>
  <c r="H344" i="2"/>
  <c r="J344" i="2"/>
  <c r="H343" i="2"/>
  <c r="J343" i="2"/>
  <c r="H342" i="2"/>
  <c r="J342" i="2"/>
  <c r="H341" i="2"/>
  <c r="J341" i="2"/>
  <c r="H340" i="2"/>
  <c r="J340" i="2"/>
  <c r="H339" i="2"/>
  <c r="J339" i="2"/>
  <c r="H338" i="2"/>
  <c r="J338" i="2"/>
  <c r="H337" i="2"/>
  <c r="J337" i="2"/>
  <c r="H336" i="2"/>
  <c r="J336" i="2"/>
  <c r="H335" i="2"/>
  <c r="J335" i="2"/>
  <c r="H334" i="2"/>
  <c r="J334" i="2"/>
  <c r="H333" i="2"/>
  <c r="J333" i="2"/>
  <c r="H332" i="2"/>
  <c r="J332" i="2"/>
  <c r="H331" i="2"/>
  <c r="J331" i="2"/>
  <c r="H330" i="2"/>
  <c r="J330" i="2"/>
  <c r="H329" i="2"/>
  <c r="J329" i="2"/>
  <c r="D4" i="5"/>
  <c r="E4" i="5"/>
  <c r="F4" i="5"/>
  <c r="H4" i="5" l="1"/>
  <c r="D8" i="5"/>
  <c r="E8" i="5"/>
  <c r="F8" i="5"/>
  <c r="H328" i="2"/>
  <c r="J328" i="2"/>
  <c r="H327" i="2"/>
  <c r="J327" i="2"/>
  <c r="H326" i="2"/>
  <c r="J326" i="2"/>
  <c r="H325" i="2"/>
  <c r="J325" i="2"/>
  <c r="H324" i="2"/>
  <c r="J324" i="2"/>
  <c r="H323" i="2"/>
  <c r="J323" i="2"/>
  <c r="H322" i="2"/>
  <c r="J322" i="2"/>
  <c r="H321" i="2"/>
  <c r="J321" i="2"/>
  <c r="H320" i="2"/>
  <c r="J320" i="2"/>
  <c r="H319" i="2"/>
  <c r="J319" i="2"/>
  <c r="H318" i="2"/>
  <c r="J318" i="2"/>
  <c r="H317" i="2"/>
  <c r="J317" i="2"/>
  <c r="H316" i="2"/>
  <c r="J316" i="2"/>
  <c r="H315" i="2"/>
  <c r="J315" i="2"/>
  <c r="H314" i="2"/>
  <c r="J314" i="2"/>
  <c r="H313" i="2"/>
  <c r="J313" i="2"/>
  <c r="H312" i="2"/>
  <c r="J312" i="2"/>
  <c r="H311" i="2"/>
  <c r="J311" i="2"/>
  <c r="H310" i="2"/>
  <c r="J310" i="2"/>
  <c r="H8" i="5" l="1"/>
  <c r="H309" i="2"/>
  <c r="J309" i="2"/>
  <c r="H308" i="2"/>
  <c r="J308" i="2"/>
  <c r="H307" i="2"/>
  <c r="J307" i="2"/>
  <c r="H306" i="2"/>
  <c r="J306" i="2"/>
  <c r="H305" i="2" l="1"/>
  <c r="J305" i="2"/>
  <c r="H304" i="2"/>
  <c r="J304" i="2"/>
  <c r="H303" i="2"/>
  <c r="J303" i="2"/>
  <c r="H302" i="2"/>
  <c r="J302" i="2"/>
  <c r="H301" i="2"/>
  <c r="J301" i="2"/>
  <c r="H300" i="2"/>
  <c r="J300" i="2"/>
  <c r="H299" i="2"/>
  <c r="J299" i="2"/>
  <c r="H298" i="2"/>
  <c r="J298" i="2"/>
  <c r="H297" i="2"/>
  <c r="J297" i="2"/>
  <c r="H296" i="2"/>
  <c r="J296" i="2"/>
  <c r="H295" i="2"/>
  <c r="J295" i="2"/>
  <c r="H294" i="2"/>
  <c r="J294" i="2"/>
  <c r="H293" i="2"/>
  <c r="J293" i="2"/>
  <c r="H292" i="2"/>
  <c r="J292" i="2"/>
  <c r="H291" i="2"/>
  <c r="J291" i="2"/>
  <c r="H290" i="2"/>
  <c r="J290" i="2"/>
  <c r="H289" i="2"/>
  <c r="J289" i="2"/>
  <c r="H288" i="2"/>
  <c r="J288" i="2"/>
  <c r="H287" i="2" l="1"/>
  <c r="J287" i="2"/>
  <c r="H286" i="2"/>
  <c r="J286" i="2"/>
  <c r="H285" i="2"/>
  <c r="J285" i="2"/>
  <c r="H284" i="2"/>
  <c r="J284" i="2"/>
  <c r="H283" i="2"/>
  <c r="J283" i="2"/>
  <c r="H282" i="2"/>
  <c r="J282" i="2"/>
  <c r="H281" i="2"/>
  <c r="J281" i="2"/>
  <c r="H280" i="2"/>
  <c r="J280" i="2"/>
  <c r="H279" i="2"/>
  <c r="J279" i="2"/>
  <c r="H278" i="2"/>
  <c r="J278" i="2"/>
  <c r="H277" i="2"/>
  <c r="J277" i="2"/>
  <c r="H276" i="2"/>
  <c r="J276" i="2"/>
  <c r="H275" i="2" l="1"/>
  <c r="J275" i="2"/>
  <c r="H274" i="2"/>
  <c r="J274" i="2"/>
  <c r="H273" i="2"/>
  <c r="J273" i="2"/>
  <c r="H272" i="2"/>
  <c r="J272" i="2"/>
  <c r="H271" i="2"/>
  <c r="J271" i="2"/>
  <c r="H270" i="2"/>
  <c r="J270" i="2"/>
  <c r="H269" i="2"/>
  <c r="J269" i="2"/>
  <c r="H268" i="2"/>
  <c r="J268" i="2"/>
  <c r="H267" i="2"/>
  <c r="J267" i="2"/>
  <c r="D9" i="5" l="1"/>
  <c r="E9" i="5"/>
  <c r="F9" i="5"/>
  <c r="H266" i="2"/>
  <c r="J266" i="2"/>
  <c r="H265" i="2"/>
  <c r="J265" i="2"/>
  <c r="H9" i="5" l="1"/>
  <c r="J264" i="2"/>
  <c r="H264" i="2"/>
  <c r="J7" i="2" l="1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2" i="2"/>
  <c r="H263" i="2"/>
  <c r="H262" i="2"/>
  <c r="H261" i="2"/>
  <c r="H260" i="2"/>
  <c r="H259" i="2"/>
  <c r="K2" i="2" l="1"/>
  <c r="H258" i="2"/>
  <c r="H257" i="2" l="1"/>
  <c r="H256" i="2" l="1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 l="1"/>
  <c r="D10" i="5" l="1"/>
  <c r="E10" i="5"/>
  <c r="F10" i="5"/>
  <c r="H242" i="2"/>
  <c r="H10" i="5" l="1"/>
  <c r="H241" i="2"/>
  <c r="H240" i="2"/>
  <c r="H239" i="2"/>
  <c r="H238" i="2"/>
  <c r="H237" i="2"/>
  <c r="H236" i="2"/>
  <c r="H235" i="2" l="1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 l="1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 l="1"/>
  <c r="H201" i="2"/>
  <c r="H200" i="2"/>
  <c r="H199" i="2"/>
  <c r="H198" i="2"/>
  <c r="H197" i="2"/>
  <c r="H196" i="2"/>
  <c r="H195" i="2"/>
  <c r="H194" i="2" l="1"/>
  <c r="H193" i="2"/>
  <c r="H192" i="2"/>
  <c r="H191" i="2"/>
  <c r="H190" i="2"/>
  <c r="H189" i="2"/>
  <c r="H188" i="2"/>
  <c r="H187" i="2"/>
  <c r="H186" i="2" l="1"/>
  <c r="H185" i="2"/>
  <c r="H184" i="2"/>
  <c r="H183" i="2" l="1"/>
  <c r="H182" i="2"/>
  <c r="H181" i="2"/>
  <c r="H180" i="2"/>
  <c r="H179" i="2"/>
  <c r="H178" i="2" l="1"/>
  <c r="H177" i="2"/>
  <c r="H176" i="2"/>
  <c r="H175" i="2" l="1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 l="1"/>
  <c r="H153" i="2" l="1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 l="1"/>
  <c r="H138" i="2"/>
  <c r="H137" i="2"/>
  <c r="H136" i="2"/>
  <c r="H135" i="2"/>
  <c r="H134" i="2"/>
  <c r="H133" i="2" l="1"/>
  <c r="H132" i="2"/>
  <c r="H131" i="2"/>
  <c r="H130" i="2"/>
  <c r="H129" i="2"/>
  <c r="H128" i="2"/>
  <c r="H127" i="2"/>
  <c r="H126" i="2"/>
  <c r="J4" i="5" l="1"/>
  <c r="C1" i="1" l="1"/>
  <c r="H7" i="2" l="1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2" i="2"/>
  <c r="A1" i="1" l="1"/>
  <c r="B1" i="1"/>
</calcChain>
</file>

<file path=xl/sharedStrings.xml><?xml version="1.0" encoding="utf-8"?>
<sst xmlns="http://schemas.openxmlformats.org/spreadsheetml/2006/main" count="1491" uniqueCount="473">
  <si>
    <t>DESCRIPCION</t>
  </si>
  <si>
    <t>P. UNITARIO</t>
  </si>
  <si>
    <t>FECHA</t>
  </si>
  <si>
    <t>CANTIDAD</t>
  </si>
  <si>
    <t>Codigo</t>
  </si>
  <si>
    <t>CATEGORIA</t>
  </si>
  <si>
    <t>COSTOS</t>
  </si>
  <si>
    <t>RESTANTE</t>
  </si>
  <si>
    <t>Nro</t>
  </si>
  <si>
    <t>CODIGO</t>
  </si>
  <si>
    <t>Num</t>
  </si>
  <si>
    <t>Fecha</t>
  </si>
  <si>
    <t>Descripcion</t>
  </si>
  <si>
    <t>Cantidad</t>
  </si>
  <si>
    <t>Categoria</t>
  </si>
  <si>
    <t>Precio</t>
  </si>
  <si>
    <t>Total</t>
  </si>
  <si>
    <t>Forma de Pago</t>
  </si>
  <si>
    <t>EFECTIVO</t>
  </si>
  <si>
    <t>PRETIO TOTAL</t>
  </si>
  <si>
    <t>FORMA DE PAGO</t>
  </si>
  <si>
    <t>PRECIO UNITARIO</t>
  </si>
  <si>
    <t>GANACIA</t>
  </si>
  <si>
    <t>TARJETA</t>
  </si>
  <si>
    <t>TRANSFERENCIA</t>
  </si>
  <si>
    <t>GASTO</t>
  </si>
  <si>
    <t>FUNDAS</t>
  </si>
  <si>
    <t>CANTIDAD CARGADAS</t>
  </si>
  <si>
    <t>23/01/2023</t>
  </si>
  <si>
    <t>J1 MINI REFORZADA</t>
  </si>
  <si>
    <t>J1 REFORZADA</t>
  </si>
  <si>
    <t>J1 SILICONA</t>
  </si>
  <si>
    <t>J1 ACE REFORZADAS</t>
  </si>
  <si>
    <t>J1 ACE LIBRITO</t>
  </si>
  <si>
    <t>J1 ACE SILICONA</t>
  </si>
  <si>
    <t>J2 CORE/PRO REFORZADA</t>
  </si>
  <si>
    <t>J2 PRIME SILICONA</t>
  </si>
  <si>
    <t>J2 PRIME REFORZADA</t>
  </si>
  <si>
    <t>J2 SILICONA</t>
  </si>
  <si>
    <t>J2 REFORZADA</t>
  </si>
  <si>
    <t>J4 REFORZADA</t>
  </si>
  <si>
    <t>J4 SILICONA</t>
  </si>
  <si>
    <t>J4 CORE/PLUS REFORZADA</t>
  </si>
  <si>
    <t>J4 CORE/PLUS LIBRITO</t>
  </si>
  <si>
    <t>J6 PLUS REFORZADA</t>
  </si>
  <si>
    <t>J5 SILICONA</t>
  </si>
  <si>
    <t>J5 REFORZADA</t>
  </si>
  <si>
    <t>J5 PRIME REFORZADA</t>
  </si>
  <si>
    <t>J6 SILICOMO</t>
  </si>
  <si>
    <t>J6 2018 LIBRITO</t>
  </si>
  <si>
    <t>J6 PLUS LIBRITO</t>
  </si>
  <si>
    <t>J7 NEO REFORAZADAS</t>
  </si>
  <si>
    <t>J7 NEO SILICONA</t>
  </si>
  <si>
    <t>J7 PRO REFORZADA</t>
  </si>
  <si>
    <t>J7 PRO SILICONA</t>
  </si>
  <si>
    <t>J7 PRO LIBRITO</t>
  </si>
  <si>
    <t>J7 2016 REFORZADSA</t>
  </si>
  <si>
    <t>J7 2016 SILICONA</t>
  </si>
  <si>
    <t>J7 2016 LIBRITO</t>
  </si>
  <si>
    <t>J7 PRIME SILICONA</t>
  </si>
  <si>
    <t>J7 PRME LIBRITO</t>
  </si>
  <si>
    <t>J7 PRIME REFORZADA</t>
  </si>
  <si>
    <t>J8 REFORZADA</t>
  </si>
  <si>
    <t>J8 SILICONA</t>
  </si>
  <si>
    <t>J8 LIBRITO</t>
  </si>
  <si>
    <t>S7 EDGE REFORZADA</t>
  </si>
  <si>
    <t>S7 EDGE SILICONA</t>
  </si>
  <si>
    <t>S7 EDGE LIBRITO</t>
  </si>
  <si>
    <t>S7 LIBRITO</t>
  </si>
  <si>
    <t>S7 REFORZADA</t>
  </si>
  <si>
    <t>S7 SILICONA</t>
  </si>
  <si>
    <t>S8 REFORZADA</t>
  </si>
  <si>
    <t>S8 LIBRITO</t>
  </si>
  <si>
    <t>S8 SILICONA</t>
  </si>
  <si>
    <t>S8 SILICONCASE</t>
  </si>
  <si>
    <t>S8 PLUS SILICONCASE</t>
  </si>
  <si>
    <t>S8 PLUS SILCONA</t>
  </si>
  <si>
    <t>S8 PLUS REFORZADA</t>
  </si>
  <si>
    <t>25/01/2023</t>
  </si>
  <si>
    <t>S9 REFORZADA</t>
  </si>
  <si>
    <t>S9 LIBRITO</t>
  </si>
  <si>
    <t>S9 SILICONA</t>
  </si>
  <si>
    <t>S9 SILICONE CASE</t>
  </si>
  <si>
    <t>S9 PLUS REFORZADA</t>
  </si>
  <si>
    <t>S9 PLUS SILICONA</t>
  </si>
  <si>
    <t>S10 PLUS REFORZADA</t>
  </si>
  <si>
    <t>S10 PLUS SILICONA</t>
  </si>
  <si>
    <t>S10 PLUS SILICONE CASE</t>
  </si>
  <si>
    <t>S10 SILICONA</t>
  </si>
  <si>
    <t>S10 SILICONE CASE</t>
  </si>
  <si>
    <t>S10 REFORZADA</t>
  </si>
  <si>
    <t>S10 E SILICONA</t>
  </si>
  <si>
    <t>S20 LITE REFORZADA</t>
  </si>
  <si>
    <t>S20 LITE SILICONA</t>
  </si>
  <si>
    <t>S22 ULTRA REFORZADA</t>
  </si>
  <si>
    <t>S22 ULTRA SILICONA</t>
  </si>
  <si>
    <t>26/01/2023</t>
  </si>
  <si>
    <t>A21S REFORZADA</t>
  </si>
  <si>
    <t>A22 4G REFORZADA</t>
  </si>
  <si>
    <t>A22 5G REFORZADA</t>
  </si>
  <si>
    <t>A23 REFORZADA</t>
  </si>
  <si>
    <t>A23 SILICONA</t>
  </si>
  <si>
    <t>A31 LIBRITO</t>
  </si>
  <si>
    <t>A31 SILICONA</t>
  </si>
  <si>
    <t>A31 REFORZADA</t>
  </si>
  <si>
    <t>A32 REFORZADA</t>
  </si>
  <si>
    <t>A32 LIBRITO</t>
  </si>
  <si>
    <t>A33 REFORZADA</t>
  </si>
  <si>
    <t>A33 SILICONA</t>
  </si>
  <si>
    <t>A40 REFORZADA</t>
  </si>
  <si>
    <t>A40 SILICONA</t>
  </si>
  <si>
    <t>A50/A30S SILICONE CASE</t>
  </si>
  <si>
    <t>A51 REFORZADA</t>
  </si>
  <si>
    <t>A52 REFORZADA</t>
  </si>
  <si>
    <t>A52 SILICONA</t>
  </si>
  <si>
    <t>A53 REFORZADA</t>
  </si>
  <si>
    <t>A71 REFORZADA</t>
  </si>
  <si>
    <t>A70 REFORZADA</t>
  </si>
  <si>
    <t>A70 SILICONE CASE</t>
  </si>
  <si>
    <t>A72 REFORZADA</t>
  </si>
  <si>
    <t>A72 SILICONA</t>
  </si>
  <si>
    <t>NOTE 10 REFORZADA</t>
  </si>
  <si>
    <t>NOTE 10 LIBRITO</t>
  </si>
  <si>
    <t>NOTE 10 SILICONA</t>
  </si>
  <si>
    <t>FUNDA UNIVERSAL TABLET 6"/7"/8"  PULGADAS</t>
  </si>
  <si>
    <t>FUNDA TABLET UNIVERSAL 6"  PULGADAS</t>
  </si>
  <si>
    <t>FUNDA TABLET UNIVERSAL LIBRITO *7 PULGADAS*</t>
  </si>
  <si>
    <t>G10/G20/G30 REFORZADA</t>
  </si>
  <si>
    <t>E32 REFORZADA</t>
  </si>
  <si>
    <t>E40 REFORZADA</t>
  </si>
  <si>
    <t>E71 POWER REFORZADA</t>
  </si>
  <si>
    <t>E6 PLAY REFORZADA</t>
  </si>
  <si>
    <t>E6 PLAY SILICONA</t>
  </si>
  <si>
    <t>E6 PLUS REFORZADA</t>
  </si>
  <si>
    <t>E6 PLUS SILICONA</t>
  </si>
  <si>
    <t>G8 POWER</t>
  </si>
  <si>
    <t>G8 PLAY REFORZADA</t>
  </si>
  <si>
    <t xml:space="preserve">G8 PLAY SILICONA </t>
  </si>
  <si>
    <t>G8 PLUS REFORZADA</t>
  </si>
  <si>
    <t>G8 REFORZADA</t>
  </si>
  <si>
    <t>G8 SILICONE CASE</t>
  </si>
  <si>
    <t>G7 POWER REFORZADA</t>
  </si>
  <si>
    <t>G7 POWER SILICONE CASE</t>
  </si>
  <si>
    <t>G7 PLAY REFORZADA</t>
  </si>
  <si>
    <t xml:space="preserve">G7 PLAY SILICONA </t>
  </si>
  <si>
    <t>G7 PLUS REFORZADA</t>
  </si>
  <si>
    <t>G7 PLUS LIBRITO</t>
  </si>
  <si>
    <t>G7 PLUS SILICONA</t>
  </si>
  <si>
    <t>G7 PLUS SILICONE CASE</t>
  </si>
  <si>
    <t>27/01/2023</t>
  </si>
  <si>
    <t>ESTADISTICAS</t>
  </si>
  <si>
    <t>28/01/2023</t>
  </si>
  <si>
    <t>G6 PLAY/E5 REFORZADA</t>
  </si>
  <si>
    <t>G6 PLAY/E5 SILICONA</t>
  </si>
  <si>
    <t>E6/E6S/E6I REFORZADA</t>
  </si>
  <si>
    <t>G42 REFORZADA</t>
  </si>
  <si>
    <t>A03 CORE REFORZADA</t>
  </si>
  <si>
    <t>A03 CORE LIBRITO</t>
  </si>
  <si>
    <t>A03 REFORZADA</t>
  </si>
  <si>
    <t xml:space="preserve">MOTO C REFORZADA </t>
  </si>
  <si>
    <t>MOTO G2 LIBRITO</t>
  </si>
  <si>
    <t xml:space="preserve">MOTO G2 SILICONA </t>
  </si>
  <si>
    <t>G4 PLUS/G4 LIBRITO</t>
  </si>
  <si>
    <t>G4/G4 PLUS REFORZADA</t>
  </si>
  <si>
    <t>G4/G4 PLUS SILICONA</t>
  </si>
  <si>
    <t>MOTO ONE ONE REFORZADA</t>
  </si>
  <si>
    <t>MOTO ONE FUSION REFORZADA</t>
  </si>
  <si>
    <t>MOTO ONE VISION REFORZADA</t>
  </si>
  <si>
    <t xml:space="preserve">NOTE 11 PRO </t>
  </si>
  <si>
    <t>G5S REFORZADA</t>
  </si>
  <si>
    <t>G5S SILICONA</t>
  </si>
  <si>
    <t xml:space="preserve">G6 LIBRITO </t>
  </si>
  <si>
    <t>VIDRIOS</t>
  </si>
  <si>
    <t>J2 PRIME</t>
  </si>
  <si>
    <t>J2 CORE</t>
  </si>
  <si>
    <t>J2 2016</t>
  </si>
  <si>
    <t>J2 PRO</t>
  </si>
  <si>
    <t>J3</t>
  </si>
  <si>
    <t>J4 PLUS/J6 PLUS/J8 PLUS</t>
  </si>
  <si>
    <t xml:space="preserve">J6 </t>
  </si>
  <si>
    <t>J5 PRIME</t>
  </si>
  <si>
    <t>J5 2016</t>
  </si>
  <si>
    <t>CARGADORES</t>
  </si>
  <si>
    <t>SOUL TIPO IPHONE</t>
  </si>
  <si>
    <t>VIAJERO IPHONE</t>
  </si>
  <si>
    <t>SOUL TIPO C</t>
  </si>
  <si>
    <t>SOUL PREMIUM TIPO C</t>
  </si>
  <si>
    <t>AUTO TIPO C</t>
  </si>
  <si>
    <t>CABLES</t>
  </si>
  <si>
    <t>USB TIPO C - TIPO C</t>
  </si>
  <si>
    <t>USB DATA TIPO C</t>
  </si>
  <si>
    <t>USB THOR TIPO C</t>
  </si>
  <si>
    <t xml:space="preserve">SOUL PREMIUM V8 </t>
  </si>
  <si>
    <t>CABEZAL MOROTOROLA</t>
  </si>
  <si>
    <t>CARGADOR DE BATERIA EXTERNO</t>
  </si>
  <si>
    <t xml:space="preserve">CARGADOR AUTO V8 </t>
  </si>
  <si>
    <t>USB ECONOMICO TIPO V8</t>
  </si>
  <si>
    <t>USB DATA TIPO V8</t>
  </si>
  <si>
    <t>USB THOR TIPO V8</t>
  </si>
  <si>
    <t>USB ECONOMICO TIPO IPHONE</t>
  </si>
  <si>
    <t>USB THOR TIPO IPHONE</t>
  </si>
  <si>
    <t>AURICULARES ECONOMICOS</t>
  </si>
  <si>
    <t>AURICULARES</t>
  </si>
  <si>
    <t>AURICULARES ROMPEOIDOS</t>
  </si>
  <si>
    <t>AURICULARES EN CAJA</t>
  </si>
  <si>
    <t>AURICULAR FICHA C</t>
  </si>
  <si>
    <t>RING ANILLO</t>
  </si>
  <si>
    <t>OTG TIPO C</t>
  </si>
  <si>
    <t>OTG TIPO V8</t>
  </si>
  <si>
    <t>ADAPTADOR TIPO C - 3.5 MM</t>
  </si>
  <si>
    <t>ACCESORIOS</t>
  </si>
  <si>
    <t>J7 NEO/ J7 2016</t>
  </si>
  <si>
    <t>J4/J7 PRIME/J7 2016</t>
  </si>
  <si>
    <t>AUXILIAR MACHO - MACHO</t>
  </si>
  <si>
    <t>CABLES AUDIOS VARIOS</t>
  </si>
  <si>
    <t xml:space="preserve">MEMORIA 64 GB SD </t>
  </si>
  <si>
    <t>PENDRIVE 64 GB</t>
  </si>
  <si>
    <t>PILAS RECARGABLES ECONOMICAS AA</t>
  </si>
  <si>
    <t>BATERIA ENERGIZER RECARGABLE AA</t>
  </si>
  <si>
    <t>PILAS</t>
  </si>
  <si>
    <t>ENERGIZER RECARGABLE AA</t>
  </si>
  <si>
    <t>ENERGIZER 9V</t>
  </si>
  <si>
    <t>ENERGIZER AA</t>
  </si>
  <si>
    <t>ENERGIZER AAA</t>
  </si>
  <si>
    <t>EVEREADY AAA</t>
  </si>
  <si>
    <t>EVEREADY AA</t>
  </si>
  <si>
    <t>EVEREADY 9V</t>
  </si>
  <si>
    <t>BRAZALETE</t>
  </si>
  <si>
    <t>MOTO G6 REFORZADA</t>
  </si>
  <si>
    <t>MOTO G6 LIBRITO</t>
  </si>
  <si>
    <t xml:space="preserve">A01/AO1 CORE </t>
  </si>
  <si>
    <t>A01 REFORZADA</t>
  </si>
  <si>
    <t>A01 LIBRITO</t>
  </si>
  <si>
    <t>A01 SILICONA</t>
  </si>
  <si>
    <t>VIAJERO MICRO</t>
  </si>
  <si>
    <t>G6 PLUS REFORZADA</t>
  </si>
  <si>
    <t>G6 PLUS LIBRITO</t>
  </si>
  <si>
    <t>G6 PLUS SILICONA</t>
  </si>
  <si>
    <t>G5 PLUS REFORZADA</t>
  </si>
  <si>
    <t>G5 PLUS S LIBRITO</t>
  </si>
  <si>
    <t>G5 PLUS LIBRITO</t>
  </si>
  <si>
    <t>G5 S PLUS REFORZADA</t>
  </si>
  <si>
    <t>G5 PLUS REFORAZAD</t>
  </si>
  <si>
    <t>G8 POWER LITE REFORZADA</t>
  </si>
  <si>
    <t>G8 POWER LITE SILICONA</t>
  </si>
  <si>
    <t>G8 PLAY/E7 PLUS REFORZADA</t>
  </si>
  <si>
    <t>G9 PLAY/ E7 PLUS REFORZADA</t>
  </si>
  <si>
    <t>G9 POWER SILICONA</t>
  </si>
  <si>
    <t>G9 POWER REFORZADA</t>
  </si>
  <si>
    <t>G9 PLUS REFORZADA</t>
  </si>
  <si>
    <t>G9 PLUS SILICONA</t>
  </si>
  <si>
    <t>E4 PLUS REFORZADA</t>
  </si>
  <si>
    <t>A04 REFORZADA</t>
  </si>
  <si>
    <t>E5 PLAY REFORZADA</t>
  </si>
  <si>
    <t>E5 PLAY SILICONA</t>
  </si>
  <si>
    <t>MOTO E7 I REFORZADA</t>
  </si>
  <si>
    <t>G10 POWER REFORZADA</t>
  </si>
  <si>
    <t>G22 REFORZADA</t>
  </si>
  <si>
    <t xml:space="preserve">J1 ACE </t>
  </si>
  <si>
    <t xml:space="preserve">J1 MINI </t>
  </si>
  <si>
    <t>G31 REFORZADA</t>
  </si>
  <si>
    <t>G31 LIBRITO</t>
  </si>
  <si>
    <t>G41 REFORZADA</t>
  </si>
  <si>
    <t>G50 REFORZADA</t>
  </si>
  <si>
    <t>A01</t>
  </si>
  <si>
    <t>A01 CORE</t>
  </si>
  <si>
    <t>G51 REFORZADAD</t>
  </si>
  <si>
    <t>G51 LIBRITO</t>
  </si>
  <si>
    <t>G52 REFORZADA</t>
  </si>
  <si>
    <t>G60 REFORZADA</t>
  </si>
  <si>
    <t>G71 G REFORZADA</t>
  </si>
  <si>
    <t>A03S REFORZADA</t>
  </si>
  <si>
    <t>A12</t>
  </si>
  <si>
    <t>CABLE ECONOMICO IPHONE</t>
  </si>
  <si>
    <t>A21/A52/G8 CERRADO</t>
  </si>
  <si>
    <t>A10 CERRADO</t>
  </si>
  <si>
    <t>A31 SX/E6 PLUS/A51 S/A10</t>
  </si>
  <si>
    <t>G9 POWER/G9 PLUS/G100</t>
  </si>
  <si>
    <t>A20 CERRADO</t>
  </si>
  <si>
    <t>G60S REFORZADA</t>
  </si>
  <si>
    <t>G100 REFORZADA</t>
  </si>
  <si>
    <t>A20/A30-S/A50-S/A32/NOTE 8/A22/A32</t>
  </si>
  <si>
    <t>A12/E32/A72</t>
  </si>
  <si>
    <t>IPHONE 7/8 REFORZADA</t>
  </si>
  <si>
    <t>IPHONE 7/8 SILICONA</t>
  </si>
  <si>
    <t>A10 REFORZADA</t>
  </si>
  <si>
    <t>A10 LIBRITO</t>
  </si>
  <si>
    <t xml:space="preserve">A10 SILICONE CASE </t>
  </si>
  <si>
    <t>G6 SILICONE CASE</t>
  </si>
  <si>
    <t>MOTO C/C PLUS</t>
  </si>
  <si>
    <t>A20S REFORZADA</t>
  </si>
  <si>
    <t>A20S LIBRITO</t>
  </si>
  <si>
    <t>E6 S/E6 I/E6 LIBRITO</t>
  </si>
  <si>
    <t>A02 REFORZADA</t>
  </si>
  <si>
    <t>A02 LIBRITO</t>
  </si>
  <si>
    <t>G10/G20/G30 LIBRITO</t>
  </si>
  <si>
    <t>INVERTIDO</t>
  </si>
  <si>
    <t>TOTAL INVERTIDO EN PRODUCTOS</t>
  </si>
  <si>
    <t>E40/E20 LIBRITO</t>
  </si>
  <si>
    <t>A21 REFORZADA</t>
  </si>
  <si>
    <t>A21 LIBRITO</t>
  </si>
  <si>
    <t>E71 LIBRITO</t>
  </si>
  <si>
    <t>A30S/A50S/A50 REFORZADA</t>
  </si>
  <si>
    <t>A30S/A50S/A50 LIBRITO</t>
  </si>
  <si>
    <t>A13 REFORZADA</t>
  </si>
  <si>
    <t>A04 LIBRITO</t>
  </si>
  <si>
    <t>A21S LIBRO</t>
  </si>
  <si>
    <t>A20/A30 LIBRITO</t>
  </si>
  <si>
    <t>A53 LIBRO</t>
  </si>
  <si>
    <t>A12 REFORZADA</t>
  </si>
  <si>
    <t>A13 4G LIBRITO</t>
  </si>
  <si>
    <t xml:space="preserve">A33 LIBRO </t>
  </si>
  <si>
    <t>MOTO E7 LIBRO</t>
  </si>
  <si>
    <t>A12 LIBRO</t>
  </si>
  <si>
    <t>A22 5G LIBRO</t>
  </si>
  <si>
    <t>A02S LIBRO</t>
  </si>
  <si>
    <t>A02S REFORZADA</t>
  </si>
  <si>
    <t>CABLE ECONOMICO TIPO C</t>
  </si>
  <si>
    <t>A01 CORE REFORZADA</t>
  </si>
  <si>
    <t>MOTO C PLUS REFORZADA</t>
  </si>
  <si>
    <t>MOTO C PLUS SILICONA</t>
  </si>
  <si>
    <t>MOTO C PLUS LIBRO</t>
  </si>
  <si>
    <t>A10S REFORZADA</t>
  </si>
  <si>
    <t>A10S LIBRITO</t>
  </si>
  <si>
    <t>A11 REFORZADA</t>
  </si>
  <si>
    <t>A11 LIBRITO</t>
  </si>
  <si>
    <t xml:space="preserve">E5 PLUS </t>
  </si>
  <si>
    <t>E5/G6 PLAY</t>
  </si>
  <si>
    <t xml:space="preserve">E4 PLUS </t>
  </si>
  <si>
    <t>MOTO E2</t>
  </si>
  <si>
    <t>MOTO E</t>
  </si>
  <si>
    <t xml:space="preserve">E6 PLAY </t>
  </si>
  <si>
    <t>MOTO G</t>
  </si>
  <si>
    <t xml:space="preserve">MOTO G2 </t>
  </si>
  <si>
    <t xml:space="preserve">MOTO G3 </t>
  </si>
  <si>
    <t>MOTO G4</t>
  </si>
  <si>
    <t>MOTO G4 PLUS</t>
  </si>
  <si>
    <t>MOTO G4 PLAY</t>
  </si>
  <si>
    <t>CARGADOR VIAJERO TIPO C</t>
  </si>
  <si>
    <t>SOUL TIPO V8</t>
  </si>
  <si>
    <t>G5 S PLUS</t>
  </si>
  <si>
    <t>G5 PLAY</t>
  </si>
  <si>
    <t xml:space="preserve">G5 </t>
  </si>
  <si>
    <t>G5S</t>
  </si>
  <si>
    <t>A03S SILICONE CASE</t>
  </si>
  <si>
    <t xml:space="preserve">G8 PLUS SILICONE CASE </t>
  </si>
  <si>
    <t>S22 PLUS SILICONE CASE</t>
  </si>
  <si>
    <t>G8 POWER LITE SILICONE CASE</t>
  </si>
  <si>
    <t>E71 SILICONE CASE</t>
  </si>
  <si>
    <t>S20 SILICONE CASE</t>
  </si>
  <si>
    <t>IPHONE 6 REFORZADA</t>
  </si>
  <si>
    <t xml:space="preserve">IPHONE 6 SILICONA </t>
  </si>
  <si>
    <t>IPHONE 6 PLUS SILICONE CASE</t>
  </si>
  <si>
    <t>IPHONE 6 PLUS REFORZADA</t>
  </si>
  <si>
    <t>IPHONE 7/8 SILICONE CASE</t>
  </si>
  <si>
    <t>IP 13 PRO MAX REFORZADA</t>
  </si>
  <si>
    <t>IP 13 MINI</t>
  </si>
  <si>
    <t>IP 13 SILICONE CASE</t>
  </si>
  <si>
    <t>IPHONE 13 REFORZADA</t>
  </si>
  <si>
    <t>IP 12 PRO MAX REFORZADA</t>
  </si>
  <si>
    <t>IP 11 PRO MAX SILICONE CASE</t>
  </si>
  <si>
    <t>IPHONE 11 PRO SILICONE CASE</t>
  </si>
  <si>
    <t>G7 POWER</t>
  </si>
  <si>
    <t>G6 PLUS</t>
  </si>
  <si>
    <t>G6</t>
  </si>
  <si>
    <t>G7 PLAY</t>
  </si>
  <si>
    <t>Z PLAY</t>
  </si>
  <si>
    <t>Z2</t>
  </si>
  <si>
    <t>Z3 PLAY</t>
  </si>
  <si>
    <t>K10 2017</t>
  </si>
  <si>
    <t>K8 2017</t>
  </si>
  <si>
    <t xml:space="preserve">K11 </t>
  </si>
  <si>
    <t>K4 2017</t>
  </si>
  <si>
    <t>K4 2016</t>
  </si>
  <si>
    <t>K8 2016</t>
  </si>
  <si>
    <t>K10 2016</t>
  </si>
  <si>
    <t>K61 REFORZADA</t>
  </si>
  <si>
    <t>K62 REFORZADA</t>
  </si>
  <si>
    <t>K50 REFORZADA</t>
  </si>
  <si>
    <t>K50S</t>
  </si>
  <si>
    <t>K42 REFORZADA</t>
  </si>
  <si>
    <t>K40S REFORZADA</t>
  </si>
  <si>
    <t>K20 REFORZADA</t>
  </si>
  <si>
    <t>K22 REFORZADA</t>
  </si>
  <si>
    <t>K11 REFORZADA</t>
  </si>
  <si>
    <t>K11 SILICONA</t>
  </si>
  <si>
    <t xml:space="preserve">TOTAL DE GANANCIAS </t>
  </si>
  <si>
    <t>K9 REFORZADA</t>
  </si>
  <si>
    <t>K8 2017 REFORZADA</t>
  </si>
  <si>
    <t>K8 2017 LIBRO</t>
  </si>
  <si>
    <t>K8 2017 SILICONA</t>
  </si>
  <si>
    <t>K4 2017 REFORZADA</t>
  </si>
  <si>
    <t>K4 2017 SILICONA</t>
  </si>
  <si>
    <t>K4 2017 LIBRO</t>
  </si>
  <si>
    <t>K8 2016 REFORZADA</t>
  </si>
  <si>
    <t>K8 2016 SILICONA</t>
  </si>
  <si>
    <t>K8 2016 LIBRO</t>
  </si>
  <si>
    <t>K4 REFORZADA</t>
  </si>
  <si>
    <t>P30 LITE REFORZADA</t>
  </si>
  <si>
    <t>P30 SILICONA</t>
  </si>
  <si>
    <t>P20 REFORZADA</t>
  </si>
  <si>
    <t>P20 SILICONA</t>
  </si>
  <si>
    <t>P20 LITE REFORZADA</t>
  </si>
  <si>
    <t>P20 LITE SILICONA</t>
  </si>
  <si>
    <t xml:space="preserve">P20 LITE </t>
  </si>
  <si>
    <t>P9 LITE REFORZADA</t>
  </si>
  <si>
    <t>P9 LITE SILICONA</t>
  </si>
  <si>
    <t>P9 LITE LIBRO</t>
  </si>
  <si>
    <t>P8 LITE LIBRO</t>
  </si>
  <si>
    <t>P8 LITE REFORZADA</t>
  </si>
  <si>
    <t>P8 LITE SILICONA</t>
  </si>
  <si>
    <t>P8 REFORZADA</t>
  </si>
  <si>
    <t>P8 SILICONA</t>
  </si>
  <si>
    <t>PSMART REFORZADA</t>
  </si>
  <si>
    <t>P10 REFORZADA</t>
  </si>
  <si>
    <t>P10 PLUS REFORZADA</t>
  </si>
  <si>
    <t>MATE 7 SILICONA</t>
  </si>
  <si>
    <t>MATE 8 REFORZADA</t>
  </si>
  <si>
    <t>MATE 9 LITE REFORZADA</t>
  </si>
  <si>
    <t>CARGADOR AUTO ECONOMICO</t>
  </si>
  <si>
    <t>MATE 10 LITE SILICONA</t>
  </si>
  <si>
    <t>MATE 10 PRO REFORZADA</t>
  </si>
  <si>
    <t>MATE 10 LITE REFORZADA</t>
  </si>
  <si>
    <t>GW METAL REFORZADA</t>
  </si>
  <si>
    <t>GW METAL LIBRO</t>
  </si>
  <si>
    <t>REDMI 6A REFORZADA</t>
  </si>
  <si>
    <t>REDMI 6A SILICONA</t>
  </si>
  <si>
    <t>Y6 2016 REFORZADA</t>
  </si>
  <si>
    <t>Y7 2017 REFORZADA</t>
  </si>
  <si>
    <t>Y8 2018</t>
  </si>
  <si>
    <t>Y9 2018 REFORZADA</t>
  </si>
  <si>
    <t>Y9 2019 REFORZADA</t>
  </si>
  <si>
    <t>MI 8 LITE REFORZADA</t>
  </si>
  <si>
    <t>MI 8A SILICONE CASE</t>
  </si>
  <si>
    <t>NOTE 8 REFORZADA</t>
  </si>
  <si>
    <t>NOTE 8 PRO REFORZADA</t>
  </si>
  <si>
    <t>REDMI 8 REFORZADA</t>
  </si>
  <si>
    <t>REDMI 7 SILICONA</t>
  </si>
  <si>
    <t>REDMI 7 SILICONE CASE</t>
  </si>
  <si>
    <t>NOTE 6 PRO</t>
  </si>
  <si>
    <t>REDMI 2S REFORZADA</t>
  </si>
  <si>
    <t>REDMI 3S REFORZADA</t>
  </si>
  <si>
    <t>MI MAX 2 REFORZADA</t>
  </si>
  <si>
    <t>MI PLAY REFORZADA</t>
  </si>
  <si>
    <t>NOTE 11 REFORZADA</t>
  </si>
  <si>
    <t>NOTE 9 REFORZADA</t>
  </si>
  <si>
    <t>NOTE 9 PRO REFORZADA</t>
  </si>
  <si>
    <t>NOTE 10 PLUS REFORZADA</t>
  </si>
  <si>
    <t>IP 13 PRO MAX</t>
  </si>
  <si>
    <t>IP 13 PRO</t>
  </si>
  <si>
    <t>IP 13</t>
  </si>
  <si>
    <t>IP 12 PRO MAX</t>
  </si>
  <si>
    <t>IP 12 MINI</t>
  </si>
  <si>
    <t>IP 11 PRO MAX</t>
  </si>
  <si>
    <t xml:space="preserve">IP 11 PRO </t>
  </si>
  <si>
    <t xml:space="preserve">MOTO X VARIOS </t>
  </si>
  <si>
    <t xml:space="preserve">IP X </t>
  </si>
  <si>
    <t>IP XS</t>
  </si>
  <si>
    <t>IP XS MAX</t>
  </si>
  <si>
    <t>G7</t>
  </si>
  <si>
    <t>G5</t>
  </si>
  <si>
    <t>G4 BEAT</t>
  </si>
  <si>
    <t>G4 STILU</t>
  </si>
  <si>
    <t>G4 MINI</t>
  </si>
  <si>
    <t>G4</t>
  </si>
  <si>
    <t xml:space="preserve">G3 </t>
  </si>
  <si>
    <t>CABLE INTERMEDIO IPHONE</t>
  </si>
  <si>
    <t>J4 LIBRO</t>
  </si>
  <si>
    <t>pen drive 128</t>
  </si>
  <si>
    <t>pendrive 32</t>
  </si>
  <si>
    <t>memoria sd 32</t>
  </si>
  <si>
    <t>silicon case a10</t>
  </si>
  <si>
    <t>J1 ACE REFORZADAs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</si>
</sst>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$&quot;#,##0_);[Red]\(&quot;$&quot;#,##0\)"/>
    <numFmt numFmtId="165" formatCode="_(&quot;$&quot;* #,##0_);_(&quot;$&quot;* \(#,##0\);_(&quot;$&quot;* &quot;-&quot;_);_(@_)"/>
    <numFmt numFmtId="166" formatCode="&quot;$&quot;#,##0.00_);[Red]\(&quot;$&quot;#,##0.00\)"/>
    <numFmt numFmtId="167" formatCode="_-&quot;$&quot;* #,##0.00_-;\-&quot;$&quot;* #,##0.00_-;_-&quot;$&quot;* &quot;-&quot;??_-;_-@_-"/>
    <numFmt numFmtId="168" formatCode="_(&quot;$&quot;* #,##0.00_);_(&quot;$&quot;* \(#,##0.00\);_(&quot;$&quot;* &quot;-&quot;??_);_(@_)"/>
    <numFmt numFmtId="169" formatCode="&quot;$&quot;\ #,##0"/>
    <numFmt numFmtId="170" formatCode="m/d/yyyy"/>
    <numFmt numFmtId="171" formatCode="dd/mm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167" fontId="2" fillId="0" borderId="0" applyFont="0" applyFill="0" applyBorder="0" applyAlignment="0" applyProtection="0"/>
  </cellStyleXfs>
  <cellXfs count="52">
    <xf numFmtId="0" fontId="0" fillId="0" borderId="0" xfId="0"/>
    <xf numFmtId="14" fontId="0" fillId="0" borderId="0" xfId="0" applyNumberFormat="1"/>
    <xf numFmtId="168" fontId="0" fillId="0" borderId="0" xfId="0" applyNumberFormat="1"/>
    <xf numFmtId="0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6" fontId="0" fillId="0" borderId="0" xfId="0" applyNumberFormat="1"/>
    <xf numFmtId="169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1" fontId="4" fillId="3" borderId="0" xfId="0" applyNumberFormat="1" applyFont="1" applyFill="1"/>
    <xf numFmtId="0" fontId="4" fillId="3" borderId="0" xfId="0" applyFont="1" applyFill="1" applyProtection="1">
      <protection hidden="1"/>
    </xf>
    <xf numFmtId="2" fontId="0" fillId="0" borderId="0" xfId="0" applyNumberFormat="1"/>
    <xf numFmtId="164" fontId="0" fillId="0" borderId="0" xfId="0" applyNumberFormat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3" fontId="0" fillId="0" borderId="0" xfId="0" applyNumberFormat="1"/>
    <xf numFmtId="171" fontId="0" fillId="0" borderId="0" xfId="0" applyNumberFormat="1"/>
    <xf numFmtId="171" fontId="0" fillId="0" borderId="0" xfId="0" applyNumberFormat="1" applyAlignment="1">
      <alignment horizontal="center"/>
    </xf>
    <xf numFmtId="171" fontId="7" fillId="0" borderId="0" xfId="0" applyNumberFormat="1" applyFont="1" applyFill="1"/>
    <xf numFmtId="168" fontId="6" fillId="2" borderId="0" xfId="0" applyNumberFormat="1" applyFont="1" applyFill="1" applyAlignment="1">
      <alignment horizontal="center" vertical="center"/>
    </xf>
    <xf numFmtId="165" fontId="6" fillId="2" borderId="0" xfId="0" applyNumberFormat="1" applyFont="1" applyFill="1" applyAlignment="1">
      <alignment horizontal="center" vertical="center"/>
    </xf>
    <xf numFmtId="165" fontId="6" fillId="2" borderId="0" xfId="2" applyNumberFormat="1" applyFont="1" applyFill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5" fontId="0" fillId="0" borderId="0" xfId="0" applyNumberFormat="1"/>
    <xf numFmtId="165" fontId="0" fillId="0" borderId="0" xfId="2" applyNumberFormat="1" applyFont="1" applyAlignment="1">
      <alignment horizontal="left"/>
    </xf>
    <xf numFmtId="0" fontId="0" fillId="5" borderId="0" xfId="0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170" fontId="6" fillId="0" borderId="0" xfId="0" applyNumberFormat="1" applyFont="1" applyAlignment="1">
      <alignment horizontal="center" vertical="center"/>
    </xf>
    <xf numFmtId="165" fontId="6" fillId="0" borderId="0" xfId="2" applyNumberFormat="1" applyFont="1" applyAlignment="1">
      <alignment horizontal="center" vertical="center"/>
    </xf>
    <xf numFmtId="165" fontId="6" fillId="0" borderId="0" xfId="2" applyNumberFormat="1" applyFont="1" applyAlignment="1">
      <alignment horizontal="left"/>
    </xf>
    <xf numFmtId="0" fontId="8" fillId="4" borderId="1" xfId="0" applyFont="1" applyFill="1" applyBorder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170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65" fontId="8" fillId="0" borderId="0" xfId="2" applyNumberFormat="1" applyFont="1" applyAlignment="1">
      <alignment horizontal="center" vertical="center"/>
    </xf>
    <xf numFmtId="165" fontId="8" fillId="0" borderId="0" xfId="2" applyNumberFormat="1" applyFont="1" applyAlignment="1">
      <alignment horizontal="left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</cellXfs>
  <cellStyles count="3">
    <cellStyle name="Moneda" xfId="2" builtinId="4"/>
    <cellStyle name="Normal" xfId="0" builtinId="0"/>
    <cellStyle name="Normal 2" xfId="1" xr:uid="{00000000-0005-0000-0000-000002000000}"/>
  </cellStyles>
  <dxfs count="46"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ill>
        <patternFill patternType="solid">
          <fgColor indexed="64"/>
          <bgColor rgb="FFFF0000"/>
        </patternFill>
      </fill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4" formatCode="&quot;$&quot;#,##0_);[Red]\(&quot;$&quot;#,##0\)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&quot;$&quot;#,##0.00_);[Red]\(&quot;$&quot;#,##0.00\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8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0" formatCode="m/d/yyyy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70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J435" totalsRowShown="0" headerRowDxfId="45" dataDxfId="44">
  <autoFilter ref="A1:J435" xr:uid="{00000000-0009-0000-0100-000002000000}"/>
  <sortState xmlns:xlrd2="http://schemas.microsoft.com/office/spreadsheetml/2017/richdata2" ref="A2:J432">
    <sortCondition ref="A1:A432"/>
  </sortState>
  <tableColumns count="10">
    <tableColumn id="12" xr3:uid="{00000000-0010-0000-0000-00000C000000}" name="Nro" dataDxfId="43"/>
    <tableColumn id="1" xr3:uid="{00000000-0010-0000-0000-000001000000}" name="CODIGO" dataDxfId="42"/>
    <tableColumn id="6" xr3:uid="{00000000-0010-0000-0000-000006000000}" name="FECHA" dataDxfId="41"/>
    <tableColumn id="10" xr3:uid="{00000000-0010-0000-0000-00000A000000}" name="CATEGORIA" dataDxfId="40"/>
    <tableColumn id="2" xr3:uid="{00000000-0010-0000-0000-000002000000}" name="DESCRIPCION" dataDxfId="39"/>
    <tableColumn id="7" xr3:uid="{00000000-0010-0000-0000-000007000000}" name="CANTIDAD CARGADAS" dataDxfId="38"/>
    <tableColumn id="8" xr3:uid="{00000000-0010-0000-0000-000008000000}" name="COSTOS" dataDxfId="37"/>
    <tableColumn id="9" xr3:uid="{00000000-0010-0000-0000-000009000000}" name="RESTANTE" dataDxfId="36">
      <calculatedColumnFormula xml:space="preserve"> SUMIFS(Tabla2[CANTIDAD CARGADAS],Tabla2[CODIGO],Tabla2[[#This Row],[CODIGO]]) - SUMIFS(TABLA_CIERRES[CANTIDAD],TABLA_CIERRES[Codigo],Tabla2[[#This Row],[CODIGO]])</calculatedColumnFormula>
    </tableColumn>
    <tableColumn id="4" xr3:uid="{00000000-0010-0000-0000-000004000000}" name="P. UNITARIO" dataDxfId="35" dataCellStyle="Moneda"/>
    <tableColumn id="3" xr3:uid="{00000000-0010-0000-0000-000003000000}" name="INVERTIDO" dataDxfId="34" dataCellStyle="Moneda">
      <calculatedColumnFormula>Tabla2[[#This Row],[CANTIDAD CARGADAS]]*Tabla2[[#This Row],[COSTOS]]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4" displayName="Tabla4" ref="K1:K2" totalsRowShown="0" headerRowDxfId="33" dataDxfId="32">
  <autoFilter ref="K1:K2" xr:uid="{00000000-0009-0000-0100-000004000000}"/>
  <tableColumns count="1">
    <tableColumn id="1" xr3:uid="{00000000-0010-0000-0100-000001000000}" name="TOTAL INVERTIDO EN PRODUCTOS" dataDxfId="31">
      <calculatedColumnFormula>SUM(Tabla2[INVERTIDO])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A_VENTAS" displayName="TABLA_VENTAS" ref="A1:I23" totalsRowShown="0" dataDxfId="30">
  <autoFilter ref="A1:I23" xr:uid="{00000000-0009-0000-0100-000001000000}"/>
  <tableColumns count="9">
    <tableColumn id="1" xr3:uid="{00000000-0010-0000-0200-000001000000}" name="Num" dataDxfId="29"/>
    <tableColumn id="2" xr3:uid="{00000000-0010-0000-0200-000002000000}" name="Fecha" dataDxfId="28"/>
    <tableColumn id="3" xr3:uid="{00000000-0010-0000-0200-000003000000}" name="Codigo" dataDxfId="27"/>
    <tableColumn id="4" xr3:uid="{00000000-0010-0000-0200-000004000000}" name="Descripcion" dataDxfId="26"/>
    <tableColumn id="5" xr3:uid="{00000000-0010-0000-0200-000005000000}" name="Cantidad" dataDxfId="25"/>
    <tableColumn id="6" xr3:uid="{00000000-0010-0000-0200-000006000000}" name="Categoria" dataDxfId="24"/>
    <tableColumn id="7" xr3:uid="{00000000-0010-0000-0200-000007000000}" name="Precio" dataDxfId="23"/>
    <tableColumn id="8" xr3:uid="{00000000-0010-0000-0200-000008000000}" name="Total" dataDxfId="22"/>
    <tableColumn id="9" xr3:uid="{00000000-0010-0000-0200-000009000000}" name="Forma de Pago" dataDxfId="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A_CIERRES" displayName="TABLA_CIERRES" ref="A1:I127" totalsRowShown="0" dataDxfId="20">
  <autoFilter ref="A1:I127" xr:uid="{00000000-0009-0000-0100-000003000000}"/>
  <tableColumns count="9">
    <tableColumn id="1" xr3:uid="{00000000-0010-0000-0300-000001000000}" name="Num" dataDxfId="19"/>
    <tableColumn id="2" xr3:uid="{00000000-0010-0000-0300-000002000000}" name="Fecha" dataDxfId="18"/>
    <tableColumn id="3" xr3:uid="{00000000-0010-0000-0300-000003000000}" name="Codigo" dataDxfId="17"/>
    <tableColumn id="4" xr3:uid="{00000000-0010-0000-0300-000004000000}" name="DESCRIPCION" dataDxfId="16"/>
    <tableColumn id="5" xr3:uid="{00000000-0010-0000-0300-000005000000}" name="CANTIDAD" dataDxfId="15"/>
    <tableColumn id="6" xr3:uid="{00000000-0010-0000-0300-000006000000}" name="CATEGORIA" dataDxfId="14"/>
    <tableColumn id="7" xr3:uid="{00000000-0010-0000-0300-000007000000}" name="PRECIO UNITARIO" dataDxfId="13"/>
    <tableColumn id="10" xr3:uid="{00000000-0010-0000-0300-00000A000000}" name="PRETIO TOTAL" dataDxfId="12"/>
    <tableColumn id="8" xr3:uid="{00000000-0010-0000-0300-000008000000}" name="FORMA DE PAGO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5" displayName="Tabla5" ref="C3:H10" totalsRowShown="0" headerRowDxfId="10" dataDxfId="9">
  <autoFilter ref="C3:H10" xr:uid="{00000000-0009-0000-0100-000005000000}"/>
  <tableColumns count="6">
    <tableColumn id="1" xr3:uid="{00000000-0010-0000-0400-000001000000}" name="FECHA" dataDxfId="8"/>
    <tableColumn id="3" xr3:uid="{00000000-0010-0000-0400-000003000000}" name="EFECTIVO" dataDxfId="7">
      <calculatedColumnFormula>SUMIFS(TABLA_CIERRES[PRETIO TOTAL],TABLA_CIERRES[FORMA DE PAGO],"Efectivo",TABLA_CIERRES[Fecha],Tabla5[[#This Row],[FECHA]])</calculatedColumnFormula>
    </tableColumn>
    <tableColumn id="4" xr3:uid="{00000000-0010-0000-0400-000004000000}" name="TARJETA" dataDxfId="6">
      <calculatedColumnFormula>SUMIFS(TABLA_CIERRES[PRETIO TOTAL],TABLA_CIERRES[FORMA DE PAGO],"TARJETA",TABLA_CIERRES[Fecha],Tabla5[[#This Row],[FECHA]])</calculatedColumnFormula>
    </tableColumn>
    <tableColumn id="5" xr3:uid="{00000000-0010-0000-0400-000005000000}" name="TRANSFERENCIA" dataDxfId="5">
      <calculatedColumnFormula>SUMIFS(TABLA_CIERRES[PRETIO TOTAL],TABLA_CIERRES[FORMA DE PAGO],"TRANSFERENCIA",TABLA_CIERRES[Fecha],Tabla5[[#This Row],[FECHA]])</calculatedColumnFormula>
    </tableColumn>
    <tableColumn id="6" xr3:uid="{00000000-0010-0000-0400-000006000000}" name="GASTO" dataDxfId="4"/>
    <tableColumn id="2" xr3:uid="{00000000-0010-0000-0400-000002000000}" name="GANACIA" dataDxfId="3">
      <calculatedColumnFormula>(Tabla5[[#This Row],[EFECTIVO]]+Tabla5[[#This Row],[TARJETA]]+Tabla5[[#This Row],[TRANSFERENCIA]])-Tabla5[[#This Row],[GASTO]]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a6" displayName="Tabla6" ref="J3:J4" totalsRowShown="0" headerRowDxfId="2" dataDxfId="1">
  <autoFilter ref="J3:J4" xr:uid="{00000000-0009-0000-0100-000006000000}"/>
  <tableColumns count="1">
    <tableColumn id="1" xr3:uid="{00000000-0010-0000-0500-000001000000}" name="TOTAL DE GANANCIAS " dataDxfId="0">
      <calculatedColumnFormula>SUM(Tabla5[GANACIA])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</sheetPr>
  <dimension ref="A1:E5"/>
  <sheetViews>
    <sheetView workbookViewId="0">
      <selection activeCell="C2" sqref="C2"/>
    </sheetView>
  </sheetViews>
  <sheetFormatPr baseColWidth="10" defaultRowHeight="15" x14ac:dyDescent="0.25"/>
  <cols>
    <col min="1" max="2" width="11.85546875" bestFit="1" customWidth="1"/>
    <col min="3" max="3" width="11.85546875" style="22" bestFit="1" customWidth="1"/>
    <col min="5" max="5" width="11.85546875" bestFit="1" customWidth="1"/>
  </cols>
  <sheetData>
    <row r="1" spans="1:5" x14ac:dyDescent="0.25">
      <c r="A1" s="12">
        <f>MAX(VENTAS!A:A)+1</f>
        <v>23</v>
      </c>
      <c r="B1" s="13">
        <f>MAX(Tabla2[Nro])+1</f>
        <v>462</v>
      </c>
      <c r="C1" s="24">
        <f ca="1">TODAY()</f>
        <v>44968</v>
      </c>
    </row>
    <row r="5" spans="1:5" x14ac:dyDescent="0.25">
      <c r="E5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ODUCTOS">
    <tabColor rgb="FFFFC000"/>
  </sheetPr>
  <dimension ref="A1:K459"/>
  <sheetViews>
    <sheetView zoomScale="82" zoomScaleNormal="82" workbookViewId="0">
      <pane ySplit="1" topLeftCell="A2" activePane="bottomLeft" state="frozen"/>
      <selection pane="bottomLeft" activeCell="E24" sqref="E24"/>
    </sheetView>
  </sheetViews>
  <sheetFormatPr baseColWidth="10" defaultRowHeight="15" x14ac:dyDescent="0.25"/>
  <cols>
    <col min="2" max="4" width="28.42578125" style="3" customWidth="1"/>
    <col min="5" max="5" width="47.7109375" bestFit="1" customWidth="1"/>
    <col min="6" max="6" width="26.42578125" bestFit="1" customWidth="1"/>
    <col min="7" max="7" width="15.140625" style="2" bestFit="1" customWidth="1"/>
    <col min="8" max="8" width="15.85546875" bestFit="1" customWidth="1"/>
    <col min="9" max="9" width="17.5703125" style="29" bestFit="1" customWidth="1"/>
    <col min="10" max="10" width="15.5703125" style="30" customWidth="1"/>
    <col min="11" max="11" width="36.7109375" style="29" bestFit="1" customWidth="1"/>
    <col min="12" max="12" width="19.5703125" bestFit="1" customWidth="1"/>
    <col min="13" max="13" width="12" bestFit="1" customWidth="1"/>
    <col min="14" max="14" width="18.5703125" bestFit="1" customWidth="1"/>
  </cols>
  <sheetData>
    <row r="1" spans="1:11" s="18" customFormat="1" x14ac:dyDescent="0.25">
      <c r="A1" s="16" t="s">
        <v>8</v>
      </c>
      <c r="B1" s="17" t="s">
        <v>9</v>
      </c>
      <c r="C1" s="17" t="s">
        <v>2</v>
      </c>
      <c r="D1" s="17" t="s">
        <v>5</v>
      </c>
      <c r="E1" s="17" t="s">
        <v>0</v>
      </c>
      <c r="F1" s="17" t="s">
        <v>27</v>
      </c>
      <c r="G1" s="25" t="s">
        <v>6</v>
      </c>
      <c r="H1" s="17" t="s">
        <v>7</v>
      </c>
      <c r="I1" s="26" t="s">
        <v>1</v>
      </c>
      <c r="J1" s="27" t="s">
        <v>296</v>
      </c>
      <c r="K1" s="28" t="s">
        <v>297</v>
      </c>
    </row>
    <row r="2" spans="1:11" x14ac:dyDescent="0.25">
      <c r="A2" s="34">
        <v>22</v>
      </c>
      <c r="B2" s="35">
        <v>925805841</v>
      </c>
      <c r="C2" s="36">
        <v>45109</v>
      </c>
      <c r="D2" s="35" t="s">
        <v>26</v>
      </c>
      <c r="E2" s="18" t="s">
        <v>30</v>
      </c>
      <c r="F2" s="18">
        <v>4</v>
      </c>
      <c r="G2" s="28">
        <v>400</v>
      </c>
      <c r="H2" s="35">
        <f xml:space="preserve"> SUMIFS(Tabla2[CANTIDAD CARGADAS],Tabla2[CODIGO],Tabla2[[#This Row],[CODIGO]]) - SUMIFS(TABLA_CIERRES[CANTIDAD],TABLA_CIERRES[Codigo],Tabla2[[#This Row],[CODIGO]])</f>
        <v>4</v>
      </c>
      <c r="I2" s="37">
        <v>1000</v>
      </c>
      <c r="J2" s="38">
        <f>Tabla2[[#This Row],[CANTIDAD CARGADAS]]*Tabla2[[#This Row],[COSTOS]]</f>
        <v>1600</v>
      </c>
      <c r="K2" s="29">
        <f>SUM(Tabla2[INVERTIDO])</f>
        <v>1568000</v>
      </c>
    </row>
    <row r="3" spans="1:11" x14ac:dyDescent="0.25">
      <c r="A3" s="39">
        <v>461</v>
      </c>
      <c r="B3" s="40">
        <v>200260895</v>
      </c>
      <c r="C3" s="41">
        <v>45201</v>
      </c>
      <c r="D3" s="40" t="s">
        <v>26</v>
      </c>
      <c r="E3" s="42" t="s">
        <v>471</v>
      </c>
      <c r="F3" s="42">
        <v>2</v>
      </c>
      <c r="G3" s="43">
        <v>500</v>
      </c>
      <c r="H3" s="40">
        <f xml:space="preserve"> SUMIFS(Tabla2[CANTIDAD CARGADAS],Tabla2[CODIGO],Tabla2[[#This Row],[CODIGO]]) - SUMIFS(TABLA_CIERRES[CANTIDAD],TABLA_CIERRES[Codigo],Tabla2[[#This Row],[CODIGO]])</f>
        <v>5</v>
      </c>
      <c r="I3" s="44">
        <v>1400</v>
      </c>
      <c r="J3" s="45">
        <f>Tabla2[[#This Row],[CANTIDAD CARGADAS]]*Tabla2[[#This Row],[COSTOS]]</f>
        <v>1000</v>
      </c>
      <c r="K3" s="32"/>
    </row>
    <row r="4" spans="1:11" x14ac:dyDescent="0.25">
      <c r="A4" s="39">
        <v>460</v>
      </c>
      <c r="B4" s="40">
        <v>369110405</v>
      </c>
      <c r="C4" s="41">
        <v>45140</v>
      </c>
      <c r="D4" s="40" t="s">
        <v>210</v>
      </c>
      <c r="E4" s="42" t="s">
        <v>470</v>
      </c>
      <c r="F4" s="42">
        <v>10</v>
      </c>
      <c r="G4" s="43">
        <v>2100</v>
      </c>
      <c r="H4" s="40">
        <f xml:space="preserve"> SUMIFS(Tabla2[CANTIDAD CARGADAS],Tabla2[CODIGO],Tabla2[[#This Row],[CODIGO]]) - SUMIFS(TABLA_CIERRES[CANTIDAD],TABLA_CIERRES[Codigo],Tabla2[[#This Row],[CODIGO]])</f>
        <v>10</v>
      </c>
      <c r="I4" s="44">
        <v>4200</v>
      </c>
      <c r="J4" s="45">
        <f>Tabla2[[#This Row],[CANTIDAD CARGADAS]]*Tabla2[[#This Row],[COSTOS]]</f>
        <v>21000</v>
      </c>
      <c r="K4" s="32"/>
    </row>
    <row r="5" spans="1:11" x14ac:dyDescent="0.25">
      <c r="A5" s="39">
        <v>459</v>
      </c>
      <c r="B5" s="40">
        <v>355087918</v>
      </c>
      <c r="C5" s="41">
        <v>45140</v>
      </c>
      <c r="D5" s="40" t="s">
        <v>210</v>
      </c>
      <c r="E5" s="42" t="s">
        <v>468</v>
      </c>
      <c r="F5" s="42">
        <v>5</v>
      </c>
      <c r="G5" s="43">
        <v>4000</v>
      </c>
      <c r="H5" s="40">
        <f xml:space="preserve"> SUMIFS(Tabla2[CANTIDAD CARGADAS],Tabla2[CODIGO],Tabla2[[#This Row],[CODIGO]]) - SUMIFS(TABLA_CIERRES[CANTIDAD],TABLA_CIERRES[Codigo],Tabla2[[#This Row],[CODIGO]])</f>
        <v>5</v>
      </c>
      <c r="I5" s="44">
        <v>8000</v>
      </c>
      <c r="J5" s="45">
        <f>Tabla2[[#This Row],[CANTIDAD CARGADAS]]*Tabla2[[#This Row],[COSTOS]]</f>
        <v>20000</v>
      </c>
      <c r="K5" s="32"/>
    </row>
    <row r="6" spans="1:11" x14ac:dyDescent="0.25">
      <c r="A6" s="39">
        <v>458</v>
      </c>
      <c r="B6" s="40">
        <v>660998802</v>
      </c>
      <c r="C6" s="41">
        <v>45109</v>
      </c>
      <c r="D6" s="40" t="s">
        <v>26</v>
      </c>
      <c r="E6" s="42" t="s">
        <v>467</v>
      </c>
      <c r="F6" s="42">
        <v>2</v>
      </c>
      <c r="G6" s="43">
        <v>600</v>
      </c>
      <c r="H6" s="40">
        <f xml:space="preserve"> SUMIFS(Tabla2[CANTIDAD CARGADAS],Tabla2[CODIGO],Tabla2[[#This Row],[CODIGO]]) - SUMIFS(TABLA_CIERRES[CANTIDAD],TABLA_CIERRES[Codigo],Tabla2[[#This Row],[CODIGO]])</f>
        <v>1</v>
      </c>
      <c r="I6" s="44">
        <v>1400</v>
      </c>
      <c r="J6" s="45">
        <f>Tabla2[[#This Row],[CANTIDAD CARGADAS]]*Tabla2[[#This Row],[COSTOS]]</f>
        <v>1200</v>
      </c>
      <c r="K6" s="32"/>
    </row>
    <row r="7" spans="1:11" x14ac:dyDescent="0.25">
      <c r="A7" s="34">
        <v>23</v>
      </c>
      <c r="B7" s="35">
        <v>302465250</v>
      </c>
      <c r="C7" s="36" t="s">
        <v>28</v>
      </c>
      <c r="D7" s="35" t="s">
        <v>26</v>
      </c>
      <c r="E7" s="18" t="s">
        <v>29</v>
      </c>
      <c r="F7" s="18">
        <v>24</v>
      </c>
      <c r="G7" s="28">
        <v>400</v>
      </c>
      <c r="H7" s="35">
        <f xml:space="preserve"> SUMIFS(Tabla2[CANTIDAD CARGADAS],Tabla2[CODIGO],Tabla2[[#This Row],[CODIGO]]) - SUMIFS(TABLA_CIERRES[CANTIDAD],TABLA_CIERRES[Codigo],Tabla2[[#This Row],[CODIGO]])</f>
        <v>23</v>
      </c>
      <c r="I7" s="37">
        <v>1000</v>
      </c>
      <c r="J7" s="38">
        <f>Tabla2[[#This Row],[CANTIDAD CARGADAS]]*Tabla2[[#This Row],[COSTOS]]</f>
        <v>9600</v>
      </c>
      <c r="K7" s="32"/>
    </row>
    <row r="8" spans="1:11" x14ac:dyDescent="0.25">
      <c r="A8" s="34">
        <v>24</v>
      </c>
      <c r="B8" s="35">
        <v>512752775</v>
      </c>
      <c r="C8" s="36" t="s">
        <v>28</v>
      </c>
      <c r="D8" s="35" t="s">
        <v>26</v>
      </c>
      <c r="E8" s="18" t="s">
        <v>31</v>
      </c>
      <c r="F8" s="18">
        <v>20</v>
      </c>
      <c r="G8" s="28">
        <v>200</v>
      </c>
      <c r="H8" s="35">
        <f xml:space="preserve"> SUMIFS(Tabla2[CANTIDAD CARGADAS],Tabla2[CODIGO],Tabla2[[#This Row],[CODIGO]]) - SUMIFS(TABLA_CIERRES[CANTIDAD],TABLA_CIERRES[Codigo],Tabla2[[#This Row],[CODIGO]])</f>
        <v>20</v>
      </c>
      <c r="I8" s="37">
        <v>600</v>
      </c>
      <c r="J8" s="38">
        <f>Tabla2[[#This Row],[CANTIDAD CARGADAS]]*Tabla2[[#This Row],[COSTOS]]</f>
        <v>4000</v>
      </c>
      <c r="K8" s="32"/>
    </row>
    <row r="9" spans="1:11" x14ac:dyDescent="0.25">
      <c r="A9" s="34">
        <v>25</v>
      </c>
      <c r="B9" s="35">
        <v>512752774</v>
      </c>
      <c r="C9" s="36" t="s">
        <v>28</v>
      </c>
      <c r="D9" s="35" t="s">
        <v>26</v>
      </c>
      <c r="E9" s="18" t="s">
        <v>32</v>
      </c>
      <c r="F9" s="18">
        <v>6</v>
      </c>
      <c r="G9" s="28">
        <v>400</v>
      </c>
      <c r="H9" s="35">
        <f xml:space="preserve"> SUMIFS(Tabla2[CANTIDAD CARGADAS],Tabla2[CODIGO],Tabla2[[#This Row],[CODIGO]]) - SUMIFS(TABLA_CIERRES[CANTIDAD],TABLA_CIERRES[Codigo],Tabla2[[#This Row],[CODIGO]])</f>
        <v>5</v>
      </c>
      <c r="I9" s="37">
        <v>1000</v>
      </c>
      <c r="J9" s="38">
        <f>Tabla2[[#This Row],[CANTIDAD CARGADAS]]*Tabla2[[#This Row],[COSTOS]]</f>
        <v>2400</v>
      </c>
      <c r="K9" s="32"/>
    </row>
    <row r="10" spans="1:11" x14ac:dyDescent="0.25">
      <c r="A10" s="34">
        <v>26</v>
      </c>
      <c r="B10" s="35">
        <v>99763952</v>
      </c>
      <c r="C10" s="36" t="s">
        <v>28</v>
      </c>
      <c r="D10" s="35" t="s">
        <v>26</v>
      </c>
      <c r="E10" s="18" t="s">
        <v>33</v>
      </c>
      <c r="F10" s="18">
        <v>5</v>
      </c>
      <c r="G10" s="28">
        <v>400</v>
      </c>
      <c r="H10" s="35">
        <f xml:space="preserve"> SUMIFS(Tabla2[CANTIDAD CARGADAS],Tabla2[CODIGO],Tabla2[[#This Row],[CODIGO]]) - SUMIFS(TABLA_CIERRES[CANTIDAD],TABLA_CIERRES[Codigo],Tabla2[[#This Row],[CODIGO]])</f>
        <v>5</v>
      </c>
      <c r="I10" s="37">
        <v>1400</v>
      </c>
      <c r="J10" s="38">
        <f>Tabla2[[#This Row],[CANTIDAD CARGADAS]]*Tabla2[[#This Row],[COSTOS]]</f>
        <v>2000</v>
      </c>
      <c r="K10" s="32"/>
    </row>
    <row r="11" spans="1:11" x14ac:dyDescent="0.25">
      <c r="A11" s="34">
        <v>27</v>
      </c>
      <c r="B11" s="35">
        <v>99763951</v>
      </c>
      <c r="C11" s="36" t="s">
        <v>28</v>
      </c>
      <c r="D11" s="35" t="s">
        <v>26</v>
      </c>
      <c r="E11" s="18" t="s">
        <v>34</v>
      </c>
      <c r="F11" s="18">
        <v>9</v>
      </c>
      <c r="G11" s="28">
        <v>200</v>
      </c>
      <c r="H11" s="35">
        <f xml:space="preserve"> SUMIFS(Tabla2[CANTIDAD CARGADAS],Tabla2[CODIGO],Tabla2[[#This Row],[CODIGO]]) - SUMIFS(TABLA_CIERRES[CANTIDAD],TABLA_CIERRES[Codigo],Tabla2[[#This Row],[CODIGO]])</f>
        <v>9</v>
      </c>
      <c r="I11" s="37">
        <v>600</v>
      </c>
      <c r="J11" s="38">
        <f>Tabla2[[#This Row],[CANTIDAD CARGADAS]]*Tabla2[[#This Row],[COSTOS]]</f>
        <v>1800</v>
      </c>
      <c r="K11" s="32"/>
    </row>
    <row r="12" spans="1:11" x14ac:dyDescent="0.25">
      <c r="A12" s="34">
        <v>28</v>
      </c>
      <c r="B12" s="35">
        <v>444310035</v>
      </c>
      <c r="C12" s="36" t="s">
        <v>28</v>
      </c>
      <c r="D12" s="35" t="s">
        <v>26</v>
      </c>
      <c r="E12" s="18" t="s">
        <v>35</v>
      </c>
      <c r="F12" s="18">
        <v>23</v>
      </c>
      <c r="G12" s="28">
        <v>400</v>
      </c>
      <c r="H12" s="35">
        <f xml:space="preserve"> SUMIFS(Tabla2[CANTIDAD CARGADAS],Tabla2[CODIGO],Tabla2[[#This Row],[CODIGO]]) - SUMIFS(TABLA_CIERRES[CANTIDAD],TABLA_CIERRES[Codigo],Tabla2[[#This Row],[CODIGO]])</f>
        <v>23</v>
      </c>
      <c r="I12" s="37">
        <v>1000</v>
      </c>
      <c r="J12" s="38">
        <f>Tabla2[[#This Row],[CANTIDAD CARGADAS]]*Tabla2[[#This Row],[COSTOS]]</f>
        <v>9200</v>
      </c>
      <c r="K12" s="32"/>
    </row>
    <row r="13" spans="1:11" x14ac:dyDescent="0.25">
      <c r="A13" s="34">
        <v>29</v>
      </c>
      <c r="B13" s="35">
        <v>444310036</v>
      </c>
      <c r="C13" s="36" t="s">
        <v>28</v>
      </c>
      <c r="D13" s="35" t="s">
        <v>26</v>
      </c>
      <c r="E13" s="18" t="s">
        <v>36</v>
      </c>
      <c r="F13" s="18">
        <v>31</v>
      </c>
      <c r="G13" s="28">
        <v>400</v>
      </c>
      <c r="H13" s="35">
        <f xml:space="preserve"> SUMIFS(Tabla2[CANTIDAD CARGADAS],Tabla2[CODIGO],Tabla2[[#This Row],[CODIGO]]) - SUMIFS(TABLA_CIERRES[CANTIDAD],TABLA_CIERRES[Codigo],Tabla2[[#This Row],[CODIGO]])</f>
        <v>31</v>
      </c>
      <c r="I13" s="37">
        <v>1000</v>
      </c>
      <c r="J13" s="38">
        <f>Tabla2[[#This Row],[CANTIDAD CARGADAS]]*Tabla2[[#This Row],[COSTOS]]</f>
        <v>12400</v>
      </c>
      <c r="K13" s="32"/>
    </row>
    <row r="14" spans="1:11" x14ac:dyDescent="0.25">
      <c r="A14" s="34">
        <v>30</v>
      </c>
      <c r="B14" s="35">
        <v>227046256</v>
      </c>
      <c r="C14" s="36" t="s">
        <v>28</v>
      </c>
      <c r="D14" s="35" t="s">
        <v>26</v>
      </c>
      <c r="E14" s="18" t="s">
        <v>37</v>
      </c>
      <c r="F14" s="18">
        <v>22</v>
      </c>
      <c r="G14" s="28">
        <v>400</v>
      </c>
      <c r="H14" s="35">
        <f xml:space="preserve"> SUMIFS(Tabla2[CANTIDAD CARGADAS],Tabla2[CODIGO],Tabla2[[#This Row],[CODIGO]]) - SUMIFS(TABLA_CIERRES[CANTIDAD],TABLA_CIERRES[Codigo],Tabla2[[#This Row],[CODIGO]])</f>
        <v>22</v>
      </c>
      <c r="I14" s="37">
        <v>1000</v>
      </c>
      <c r="J14" s="38">
        <f>Tabla2[[#This Row],[CANTIDAD CARGADAS]]*Tabla2[[#This Row],[COSTOS]]</f>
        <v>8800</v>
      </c>
      <c r="K14" s="32"/>
    </row>
    <row r="15" spans="1:11" x14ac:dyDescent="0.25">
      <c r="A15" s="34">
        <v>31</v>
      </c>
      <c r="B15" s="35">
        <v>227046255</v>
      </c>
      <c r="C15" s="36" t="s">
        <v>28</v>
      </c>
      <c r="D15" s="35" t="s">
        <v>26</v>
      </c>
      <c r="E15" s="18" t="s">
        <v>38</v>
      </c>
      <c r="F15" s="18">
        <v>7</v>
      </c>
      <c r="G15" s="28">
        <v>200</v>
      </c>
      <c r="H15" s="35">
        <f xml:space="preserve"> SUMIFS(Tabla2[CANTIDAD CARGADAS],Tabla2[CODIGO],Tabla2[[#This Row],[CODIGO]]) - SUMIFS(TABLA_CIERRES[CANTIDAD],TABLA_CIERRES[Codigo],Tabla2[[#This Row],[CODIGO]])</f>
        <v>7</v>
      </c>
      <c r="I15" s="37">
        <v>600</v>
      </c>
      <c r="J15" s="38">
        <f>Tabla2[[#This Row],[CANTIDAD CARGADAS]]*Tabla2[[#This Row],[COSTOS]]</f>
        <v>1400</v>
      </c>
      <c r="K15" s="32"/>
    </row>
    <row r="16" spans="1:11" x14ac:dyDescent="0.25">
      <c r="A16" s="34">
        <v>32</v>
      </c>
      <c r="B16" s="35">
        <v>476607337</v>
      </c>
      <c r="C16" s="36" t="s">
        <v>28</v>
      </c>
      <c r="D16" s="35" t="s">
        <v>26</v>
      </c>
      <c r="E16" s="18" t="s">
        <v>39</v>
      </c>
      <c r="F16" s="18">
        <v>9</v>
      </c>
      <c r="G16" s="28">
        <v>400</v>
      </c>
      <c r="H16" s="35">
        <f xml:space="preserve"> SUMIFS(Tabla2[CANTIDAD CARGADAS],Tabla2[CODIGO],Tabla2[[#This Row],[CODIGO]]) - SUMIFS(TABLA_CIERRES[CANTIDAD],TABLA_CIERRES[Codigo],Tabla2[[#This Row],[CODIGO]])</f>
        <v>9</v>
      </c>
      <c r="I16" s="37">
        <v>1000</v>
      </c>
      <c r="J16" s="38">
        <f>Tabla2[[#This Row],[CANTIDAD CARGADAS]]*Tabla2[[#This Row],[COSTOS]]</f>
        <v>3600</v>
      </c>
      <c r="K16" s="32"/>
    </row>
    <row r="17" spans="1:11" x14ac:dyDescent="0.25">
      <c r="A17" s="34">
        <v>33</v>
      </c>
      <c r="B17" s="35">
        <v>858324871</v>
      </c>
      <c r="C17" s="36" t="s">
        <v>28</v>
      </c>
      <c r="D17" s="35" t="s">
        <v>26</v>
      </c>
      <c r="E17" s="18" t="s">
        <v>40</v>
      </c>
      <c r="F17" s="18">
        <v>27</v>
      </c>
      <c r="G17" s="28">
        <v>400</v>
      </c>
      <c r="H17" s="35">
        <f xml:space="preserve"> SUMIFS(Tabla2[CANTIDAD CARGADAS],Tabla2[CODIGO],Tabla2[[#This Row],[CODIGO]]) - SUMIFS(TABLA_CIERRES[CANTIDAD],TABLA_CIERRES[Codigo],Tabla2[[#This Row],[CODIGO]])</f>
        <v>27</v>
      </c>
      <c r="I17" s="37">
        <v>1000</v>
      </c>
      <c r="J17" s="38">
        <f>Tabla2[[#This Row],[CANTIDAD CARGADAS]]*Tabla2[[#This Row],[COSTOS]]</f>
        <v>10800</v>
      </c>
      <c r="K17" s="32"/>
    </row>
    <row r="18" spans="1:11" x14ac:dyDescent="0.25">
      <c r="A18" s="34">
        <v>34</v>
      </c>
      <c r="B18" s="35">
        <v>858324870</v>
      </c>
      <c r="C18" s="36" t="s">
        <v>28</v>
      </c>
      <c r="D18" s="35" t="s">
        <v>26</v>
      </c>
      <c r="E18" s="18" t="s">
        <v>41</v>
      </c>
      <c r="F18" s="18">
        <v>8</v>
      </c>
      <c r="G18" s="28">
        <v>200</v>
      </c>
      <c r="H18" s="35">
        <f xml:space="preserve"> SUMIFS(Tabla2[CANTIDAD CARGADAS],Tabla2[CODIGO],Tabla2[[#This Row],[CODIGO]]) - SUMIFS(TABLA_CIERRES[CANTIDAD],TABLA_CIERRES[Codigo],Tabla2[[#This Row],[CODIGO]])</f>
        <v>8</v>
      </c>
      <c r="I18" s="37">
        <v>600</v>
      </c>
      <c r="J18" s="38">
        <f>Tabla2[[#This Row],[CANTIDAD CARGADAS]]*Tabla2[[#This Row],[COSTOS]]</f>
        <v>1600</v>
      </c>
      <c r="K18" s="32"/>
    </row>
    <row r="19" spans="1:11" x14ac:dyDescent="0.25">
      <c r="A19" s="34">
        <v>35</v>
      </c>
      <c r="B19" s="35">
        <v>469732267</v>
      </c>
      <c r="C19" s="36" t="s">
        <v>151</v>
      </c>
      <c r="D19" s="35" t="s">
        <v>26</v>
      </c>
      <c r="E19" s="18" t="s">
        <v>42</v>
      </c>
      <c r="F19" s="18">
        <v>12</v>
      </c>
      <c r="G19" s="28">
        <v>400</v>
      </c>
      <c r="H19" s="35">
        <f xml:space="preserve"> SUMIFS(Tabla2[CANTIDAD CARGADAS],Tabla2[CODIGO],Tabla2[[#This Row],[CODIGO]]) - SUMIFS(TABLA_CIERRES[CANTIDAD],TABLA_CIERRES[Codigo],Tabla2[[#This Row],[CODIGO]])</f>
        <v>12</v>
      </c>
      <c r="I19" s="37">
        <v>1000</v>
      </c>
      <c r="J19" s="38">
        <f>Tabla2[[#This Row],[CANTIDAD CARGADAS]]*Tabla2[[#This Row],[COSTOS]]</f>
        <v>4800</v>
      </c>
      <c r="K19" s="32"/>
    </row>
    <row r="20" spans="1:11" x14ac:dyDescent="0.25">
      <c r="A20" s="34">
        <v>36</v>
      </c>
      <c r="B20" s="35">
        <v>469732266</v>
      </c>
      <c r="C20" s="36" t="s">
        <v>28</v>
      </c>
      <c r="D20" s="35" t="s">
        <v>26</v>
      </c>
      <c r="E20" s="18" t="s">
        <v>43</v>
      </c>
      <c r="F20" s="18">
        <v>3</v>
      </c>
      <c r="G20" s="28">
        <v>400</v>
      </c>
      <c r="H20" s="35">
        <f xml:space="preserve"> SUMIFS(Tabla2[CANTIDAD CARGADAS],Tabla2[CODIGO],Tabla2[[#This Row],[CODIGO]]) - SUMIFS(TABLA_CIERRES[CANTIDAD],TABLA_CIERRES[Codigo],Tabla2[[#This Row],[CODIGO]])</f>
        <v>3</v>
      </c>
      <c r="I20" s="37">
        <v>1400</v>
      </c>
      <c r="J20" s="38">
        <f>Tabla2[[#This Row],[CANTIDAD CARGADAS]]*Tabla2[[#This Row],[COSTOS]]</f>
        <v>1200</v>
      </c>
      <c r="K20" s="32"/>
    </row>
    <row r="21" spans="1:11" x14ac:dyDescent="0.25">
      <c r="A21" s="34">
        <v>37</v>
      </c>
      <c r="B21" s="35">
        <v>570533137</v>
      </c>
      <c r="C21" s="36" t="s">
        <v>28</v>
      </c>
      <c r="D21" s="35" t="s">
        <v>26</v>
      </c>
      <c r="E21" s="18" t="s">
        <v>44</v>
      </c>
      <c r="F21" s="18">
        <v>16</v>
      </c>
      <c r="G21" s="28">
        <v>400</v>
      </c>
      <c r="H21" s="35">
        <f xml:space="preserve"> SUMIFS(Tabla2[CANTIDAD CARGADAS],Tabla2[CODIGO],Tabla2[[#This Row],[CODIGO]]) - SUMIFS(TABLA_CIERRES[CANTIDAD],TABLA_CIERRES[Codigo],Tabla2[[#This Row],[CODIGO]])</f>
        <v>16</v>
      </c>
      <c r="I21" s="37">
        <v>1000</v>
      </c>
      <c r="J21" s="38">
        <f>Tabla2[[#This Row],[CANTIDAD CARGADAS]]*Tabla2[[#This Row],[COSTOS]]</f>
        <v>6400</v>
      </c>
      <c r="K21" s="32"/>
    </row>
    <row r="22" spans="1:11" x14ac:dyDescent="0.25">
      <c r="A22" s="34">
        <v>38</v>
      </c>
      <c r="B22" s="35">
        <v>768889347</v>
      </c>
      <c r="C22" s="36" t="s">
        <v>28</v>
      </c>
      <c r="D22" s="35" t="s">
        <v>26</v>
      </c>
      <c r="E22" s="18" t="s">
        <v>45</v>
      </c>
      <c r="F22" s="18">
        <v>13</v>
      </c>
      <c r="G22" s="28">
        <v>200</v>
      </c>
      <c r="H22" s="35">
        <f xml:space="preserve"> SUMIFS(Tabla2[CANTIDAD CARGADAS],Tabla2[CODIGO],Tabla2[[#This Row],[CODIGO]]) - SUMIFS(TABLA_CIERRES[CANTIDAD],TABLA_CIERRES[Codigo],Tabla2[[#This Row],[CODIGO]])</f>
        <v>13</v>
      </c>
      <c r="I22" s="37">
        <v>600</v>
      </c>
      <c r="J22" s="38">
        <f>Tabla2[[#This Row],[CANTIDAD CARGADAS]]*Tabla2[[#This Row],[COSTOS]]</f>
        <v>2600</v>
      </c>
      <c r="K22" s="32"/>
    </row>
    <row r="23" spans="1:11" x14ac:dyDescent="0.25">
      <c r="A23" s="34">
        <v>39</v>
      </c>
      <c r="B23" s="35">
        <v>570533136</v>
      </c>
      <c r="C23" s="36" t="s">
        <v>28</v>
      </c>
      <c r="D23" s="35" t="s">
        <v>26</v>
      </c>
      <c r="E23" s="18" t="s">
        <v>46</v>
      </c>
      <c r="F23" s="18">
        <v>10</v>
      </c>
      <c r="G23" s="28">
        <v>400</v>
      </c>
      <c r="H23" s="35">
        <f xml:space="preserve"> SUMIFS(Tabla2[CANTIDAD CARGADAS],Tabla2[CODIGO],Tabla2[[#This Row],[CODIGO]]) - SUMIFS(TABLA_CIERRES[CANTIDAD],TABLA_CIERRES[Codigo],Tabla2[[#This Row],[CODIGO]])</f>
        <v>10</v>
      </c>
      <c r="I23" s="37">
        <v>1000</v>
      </c>
      <c r="J23" s="38">
        <f>Tabla2[[#This Row],[CANTIDAD CARGADAS]]*Tabla2[[#This Row],[COSTOS]]</f>
        <v>4000</v>
      </c>
      <c r="K23" s="32"/>
    </row>
    <row r="24" spans="1:11" x14ac:dyDescent="0.25">
      <c r="A24" s="34">
        <v>40</v>
      </c>
      <c r="B24" s="35">
        <v>768889346</v>
      </c>
      <c r="C24" s="36" t="s">
        <v>28</v>
      </c>
      <c r="D24" s="35" t="s">
        <v>26</v>
      </c>
      <c r="E24" s="18" t="s">
        <v>47</v>
      </c>
      <c r="F24" s="18">
        <v>29</v>
      </c>
      <c r="G24" s="28">
        <v>400</v>
      </c>
      <c r="H24" s="35">
        <f xml:space="preserve"> SUMIFS(Tabla2[CANTIDAD CARGADAS],Tabla2[CODIGO],Tabla2[[#This Row],[CODIGO]]) - SUMIFS(TABLA_CIERRES[CANTIDAD],TABLA_CIERRES[Codigo],Tabla2[[#This Row],[CODIGO]])</f>
        <v>28</v>
      </c>
      <c r="I24" s="37">
        <v>1000</v>
      </c>
      <c r="J24" s="38">
        <f>Tabla2[[#This Row],[CANTIDAD CARGADAS]]*Tabla2[[#This Row],[COSTOS]]</f>
        <v>11600</v>
      </c>
      <c r="K24" s="32"/>
    </row>
    <row r="25" spans="1:11" x14ac:dyDescent="0.25">
      <c r="A25" s="34">
        <v>41</v>
      </c>
      <c r="B25" s="35">
        <v>28406249</v>
      </c>
      <c r="C25" s="36" t="s">
        <v>28</v>
      </c>
      <c r="D25" s="35" t="s">
        <v>26</v>
      </c>
      <c r="E25" s="18" t="s">
        <v>48</v>
      </c>
      <c r="F25" s="18">
        <v>29</v>
      </c>
      <c r="G25" s="28">
        <v>400</v>
      </c>
      <c r="H25" s="35">
        <f xml:space="preserve"> SUMIFS(Tabla2[CANTIDAD CARGADAS],Tabla2[CODIGO],Tabla2[[#This Row],[CODIGO]]) - SUMIFS(TABLA_CIERRES[CANTIDAD],TABLA_CIERRES[Codigo],Tabla2[[#This Row],[CODIGO]])</f>
        <v>29</v>
      </c>
      <c r="I25" s="37">
        <v>1000</v>
      </c>
      <c r="J25" s="38">
        <f>Tabla2[[#This Row],[CANTIDAD CARGADAS]]*Tabla2[[#This Row],[COSTOS]]</f>
        <v>11600</v>
      </c>
      <c r="K25" s="32"/>
    </row>
    <row r="26" spans="1:11" x14ac:dyDescent="0.25">
      <c r="A26" s="34">
        <v>42</v>
      </c>
      <c r="B26" s="35">
        <v>176116294</v>
      </c>
      <c r="C26" s="36" t="s">
        <v>28</v>
      </c>
      <c r="D26" s="35" t="s">
        <v>26</v>
      </c>
      <c r="E26" s="18" t="s">
        <v>49</v>
      </c>
      <c r="F26" s="18">
        <v>1</v>
      </c>
      <c r="G26" s="28">
        <v>400</v>
      </c>
      <c r="H26" s="35">
        <f xml:space="preserve"> SUMIFS(Tabla2[CANTIDAD CARGADAS],Tabla2[CODIGO],Tabla2[[#This Row],[CODIGO]]) - SUMIFS(TABLA_CIERRES[CANTIDAD],TABLA_CIERRES[Codigo],Tabla2[[#This Row],[CODIGO]])</f>
        <v>1</v>
      </c>
      <c r="I26" s="37">
        <v>1400</v>
      </c>
      <c r="J26" s="38">
        <f>Tabla2[[#This Row],[CANTIDAD CARGADAS]]*Tabla2[[#This Row],[COSTOS]]</f>
        <v>400</v>
      </c>
      <c r="K26" s="32"/>
    </row>
    <row r="27" spans="1:11" x14ac:dyDescent="0.25">
      <c r="A27" s="34">
        <v>43</v>
      </c>
      <c r="B27" s="35">
        <v>770790580</v>
      </c>
      <c r="C27" s="36" t="s">
        <v>28</v>
      </c>
      <c r="D27" s="35" t="s">
        <v>26</v>
      </c>
      <c r="E27" s="18" t="s">
        <v>44</v>
      </c>
      <c r="F27" s="18">
        <v>30</v>
      </c>
      <c r="G27" s="28">
        <v>400</v>
      </c>
      <c r="H27" s="35">
        <f xml:space="preserve"> SUMIFS(Tabla2[CANTIDAD CARGADAS],Tabla2[CODIGO],Tabla2[[#This Row],[CODIGO]]) - SUMIFS(TABLA_CIERRES[CANTIDAD],TABLA_CIERRES[Codigo],Tabla2[[#This Row],[CODIGO]])</f>
        <v>30</v>
      </c>
      <c r="I27" s="37">
        <v>1000</v>
      </c>
      <c r="J27" s="38">
        <f>Tabla2[[#This Row],[CANTIDAD CARGADAS]]*Tabla2[[#This Row],[COSTOS]]</f>
        <v>12000</v>
      </c>
      <c r="K27" s="32"/>
    </row>
    <row r="28" spans="1:11" x14ac:dyDescent="0.25">
      <c r="A28" s="34">
        <v>44</v>
      </c>
      <c r="B28" s="35">
        <v>176116293</v>
      </c>
      <c r="C28" s="36" t="s">
        <v>28</v>
      </c>
      <c r="D28" s="35" t="s">
        <v>26</v>
      </c>
      <c r="E28" s="18" t="s">
        <v>50</v>
      </c>
      <c r="F28" s="18">
        <v>3</v>
      </c>
      <c r="G28" s="28">
        <v>400</v>
      </c>
      <c r="H28" s="35">
        <f xml:space="preserve"> SUMIFS(Tabla2[CANTIDAD CARGADAS],Tabla2[CODIGO],Tabla2[[#This Row],[CODIGO]]) - SUMIFS(TABLA_CIERRES[CANTIDAD],TABLA_CIERRES[Codigo],Tabla2[[#This Row],[CODIGO]])</f>
        <v>3</v>
      </c>
      <c r="I28" s="37">
        <v>1400</v>
      </c>
      <c r="J28" s="38">
        <f>Tabla2[[#This Row],[CANTIDAD CARGADAS]]*Tabla2[[#This Row],[COSTOS]]</f>
        <v>1200</v>
      </c>
      <c r="K28" s="32"/>
    </row>
    <row r="29" spans="1:11" x14ac:dyDescent="0.25">
      <c r="A29" s="34">
        <v>45</v>
      </c>
      <c r="B29" s="35">
        <v>770790579</v>
      </c>
      <c r="C29" s="36" t="s">
        <v>28</v>
      </c>
      <c r="D29" s="35" t="s">
        <v>26</v>
      </c>
      <c r="E29" s="18" t="s">
        <v>51</v>
      </c>
      <c r="F29" s="18">
        <v>32</v>
      </c>
      <c r="G29" s="28">
        <v>400</v>
      </c>
      <c r="H29" s="35">
        <f xml:space="preserve"> SUMIFS(Tabla2[CANTIDAD CARGADAS],Tabla2[CODIGO],Tabla2[[#This Row],[CODIGO]]) - SUMIFS(TABLA_CIERRES[CANTIDAD],TABLA_CIERRES[Codigo],Tabla2[[#This Row],[CODIGO]])</f>
        <v>32</v>
      </c>
      <c r="I29" s="37">
        <v>1000</v>
      </c>
      <c r="J29" s="38">
        <f>Tabla2[[#This Row],[CANTIDAD CARGADAS]]*Tabla2[[#This Row],[COSTOS]]</f>
        <v>12800</v>
      </c>
      <c r="K29" s="32"/>
    </row>
    <row r="30" spans="1:11" x14ac:dyDescent="0.25">
      <c r="A30" s="34">
        <v>46</v>
      </c>
      <c r="B30" s="35">
        <v>496664604</v>
      </c>
      <c r="C30" s="36" t="s">
        <v>28</v>
      </c>
      <c r="D30" s="35" t="s">
        <v>26</v>
      </c>
      <c r="E30" s="18" t="s">
        <v>52</v>
      </c>
      <c r="F30" s="18">
        <v>10</v>
      </c>
      <c r="G30" s="28">
        <v>200</v>
      </c>
      <c r="H30" s="35">
        <f xml:space="preserve"> SUMIFS(Tabla2[CANTIDAD CARGADAS],Tabla2[CODIGO],Tabla2[[#This Row],[CODIGO]]) - SUMIFS(TABLA_CIERRES[CANTIDAD],TABLA_CIERRES[Codigo],Tabla2[[#This Row],[CODIGO]])</f>
        <v>10</v>
      </c>
      <c r="I30" s="37">
        <v>600</v>
      </c>
      <c r="J30" s="38">
        <f>Tabla2[[#This Row],[CANTIDAD CARGADAS]]*Tabla2[[#This Row],[COSTOS]]</f>
        <v>2000</v>
      </c>
      <c r="K30" s="32"/>
    </row>
    <row r="31" spans="1:11" x14ac:dyDescent="0.25">
      <c r="A31" s="34">
        <v>47</v>
      </c>
      <c r="B31" s="35">
        <v>496664603</v>
      </c>
      <c r="C31" s="36" t="s">
        <v>28</v>
      </c>
      <c r="D31" s="35" t="s">
        <v>26</v>
      </c>
      <c r="E31" s="18" t="s">
        <v>53</v>
      </c>
      <c r="F31" s="18">
        <v>12</v>
      </c>
      <c r="G31" s="28">
        <v>400</v>
      </c>
      <c r="H31" s="35">
        <f xml:space="preserve"> SUMIFS(Tabla2[CANTIDAD CARGADAS],Tabla2[CODIGO],Tabla2[[#This Row],[CODIGO]]) - SUMIFS(TABLA_CIERRES[CANTIDAD],TABLA_CIERRES[Codigo],Tabla2[[#This Row],[CODIGO]])</f>
        <v>12</v>
      </c>
      <c r="I31" s="37">
        <v>1000</v>
      </c>
      <c r="J31" s="38">
        <f>Tabla2[[#This Row],[CANTIDAD CARGADAS]]*Tabla2[[#This Row],[COSTOS]]</f>
        <v>4800</v>
      </c>
      <c r="K31" s="32"/>
    </row>
    <row r="32" spans="1:11" x14ac:dyDescent="0.25">
      <c r="A32" s="34">
        <v>48</v>
      </c>
      <c r="B32" s="35">
        <v>585552318</v>
      </c>
      <c r="C32" s="36" t="s">
        <v>28</v>
      </c>
      <c r="D32" s="35" t="s">
        <v>26</v>
      </c>
      <c r="E32" s="18" t="s">
        <v>54</v>
      </c>
      <c r="F32" s="18">
        <v>6</v>
      </c>
      <c r="G32" s="28">
        <v>200</v>
      </c>
      <c r="H32" s="35">
        <f xml:space="preserve"> SUMIFS(Tabla2[CANTIDAD CARGADAS],Tabla2[CODIGO],Tabla2[[#This Row],[CODIGO]]) - SUMIFS(TABLA_CIERRES[CANTIDAD],TABLA_CIERRES[Codigo],Tabla2[[#This Row],[CODIGO]])</f>
        <v>6</v>
      </c>
      <c r="I32" s="37">
        <v>600</v>
      </c>
      <c r="J32" s="38">
        <f>Tabla2[[#This Row],[CANTIDAD CARGADAS]]*Tabla2[[#This Row],[COSTOS]]</f>
        <v>1200</v>
      </c>
      <c r="K32" s="32"/>
    </row>
    <row r="33" spans="1:11" x14ac:dyDescent="0.25">
      <c r="A33" s="34">
        <v>49</v>
      </c>
      <c r="B33" s="35">
        <v>585552317</v>
      </c>
      <c r="C33" s="36" t="s">
        <v>28</v>
      </c>
      <c r="D33" s="35" t="s">
        <v>26</v>
      </c>
      <c r="E33" s="18" t="s">
        <v>55</v>
      </c>
      <c r="F33" s="18">
        <v>6</v>
      </c>
      <c r="G33" s="28">
        <v>400</v>
      </c>
      <c r="H33" s="35">
        <f xml:space="preserve"> SUMIFS(Tabla2[CANTIDAD CARGADAS],Tabla2[CODIGO],Tabla2[[#This Row],[CODIGO]]) - SUMIFS(TABLA_CIERRES[CANTIDAD],TABLA_CIERRES[Codigo],Tabla2[[#This Row],[CODIGO]])</f>
        <v>6</v>
      </c>
      <c r="I33" s="37">
        <v>1400</v>
      </c>
      <c r="J33" s="38">
        <f>Tabla2[[#This Row],[CANTIDAD CARGADAS]]*Tabla2[[#This Row],[COSTOS]]</f>
        <v>2400</v>
      </c>
      <c r="K33" s="32"/>
    </row>
    <row r="34" spans="1:11" x14ac:dyDescent="0.25">
      <c r="A34" s="34">
        <v>50</v>
      </c>
      <c r="B34" s="35">
        <v>273445856</v>
      </c>
      <c r="C34" s="36" t="s">
        <v>149</v>
      </c>
      <c r="D34" s="35" t="s">
        <v>26</v>
      </c>
      <c r="E34" s="18" t="s">
        <v>56</v>
      </c>
      <c r="F34" s="18">
        <v>8</v>
      </c>
      <c r="G34" s="28">
        <v>400</v>
      </c>
      <c r="H34" s="35">
        <f xml:space="preserve"> SUMIFS(Tabla2[CANTIDAD CARGADAS],Tabla2[CODIGO],Tabla2[[#This Row],[CODIGO]]) - SUMIFS(TABLA_CIERRES[CANTIDAD],TABLA_CIERRES[Codigo],Tabla2[[#This Row],[CODIGO]])</f>
        <v>8</v>
      </c>
      <c r="I34" s="37">
        <v>1000</v>
      </c>
      <c r="J34" s="38">
        <f>Tabla2[[#This Row],[CANTIDAD CARGADAS]]*Tabla2[[#This Row],[COSTOS]]</f>
        <v>3200</v>
      </c>
      <c r="K34" s="32"/>
    </row>
    <row r="35" spans="1:11" x14ac:dyDescent="0.25">
      <c r="A35" s="34">
        <v>51</v>
      </c>
      <c r="B35" s="35">
        <v>302465249</v>
      </c>
      <c r="C35" s="36" t="s">
        <v>28</v>
      </c>
      <c r="D35" s="35" t="s">
        <v>26</v>
      </c>
      <c r="E35" s="18" t="s">
        <v>57</v>
      </c>
      <c r="F35" s="18">
        <v>18</v>
      </c>
      <c r="G35" s="28">
        <v>200</v>
      </c>
      <c r="H35" s="35">
        <f xml:space="preserve"> SUMIFS(Tabla2[CANTIDAD CARGADAS],Tabla2[CODIGO],Tabla2[[#This Row],[CODIGO]]) - SUMIFS(TABLA_CIERRES[CANTIDAD],TABLA_CIERRES[Codigo],Tabla2[[#This Row],[CODIGO]])</f>
        <v>18</v>
      </c>
      <c r="I35" s="37">
        <v>600</v>
      </c>
      <c r="J35" s="38">
        <f>Tabla2[[#This Row],[CANTIDAD CARGADAS]]*Tabla2[[#This Row],[COSTOS]]</f>
        <v>3600</v>
      </c>
      <c r="K35" s="32"/>
    </row>
    <row r="36" spans="1:11" x14ac:dyDescent="0.25">
      <c r="A36" s="34">
        <v>52</v>
      </c>
      <c r="B36" s="35">
        <v>281432046</v>
      </c>
      <c r="C36" s="36" t="s">
        <v>28</v>
      </c>
      <c r="D36" s="35" t="s">
        <v>26</v>
      </c>
      <c r="E36" s="18" t="s">
        <v>58</v>
      </c>
      <c r="F36" s="18">
        <v>1</v>
      </c>
      <c r="G36" s="28">
        <v>400</v>
      </c>
      <c r="H36" s="35">
        <f xml:space="preserve"> SUMIFS(Tabla2[CANTIDAD CARGADAS],Tabla2[CODIGO],Tabla2[[#This Row],[CODIGO]]) - SUMIFS(TABLA_CIERRES[CANTIDAD],TABLA_CIERRES[Codigo],Tabla2[[#This Row],[CODIGO]])</f>
        <v>1</v>
      </c>
      <c r="I36" s="37">
        <v>1400</v>
      </c>
      <c r="J36" s="38">
        <f>Tabla2[[#This Row],[CANTIDAD CARGADAS]]*Tabla2[[#This Row],[COSTOS]]</f>
        <v>400</v>
      </c>
      <c r="K36" s="32"/>
    </row>
    <row r="37" spans="1:11" x14ac:dyDescent="0.25">
      <c r="A37" s="34">
        <v>53</v>
      </c>
      <c r="B37" s="35">
        <v>22210761</v>
      </c>
      <c r="C37" s="36" t="s">
        <v>28</v>
      </c>
      <c r="D37" s="35" t="s">
        <v>26</v>
      </c>
      <c r="E37" s="18" t="s">
        <v>59</v>
      </c>
      <c r="F37" s="18">
        <v>4</v>
      </c>
      <c r="G37" s="28">
        <v>200</v>
      </c>
      <c r="H37" s="35">
        <f xml:space="preserve"> SUMIFS(Tabla2[CANTIDAD CARGADAS],Tabla2[CODIGO],Tabla2[[#This Row],[CODIGO]]) - SUMIFS(TABLA_CIERRES[CANTIDAD],TABLA_CIERRES[Codigo],Tabla2[[#This Row],[CODIGO]])</f>
        <v>4</v>
      </c>
      <c r="I37" s="37">
        <v>600</v>
      </c>
      <c r="J37" s="38">
        <f>Tabla2[[#This Row],[CANTIDAD CARGADAS]]*Tabla2[[#This Row],[COSTOS]]</f>
        <v>800</v>
      </c>
      <c r="K37" s="32"/>
    </row>
    <row r="38" spans="1:11" x14ac:dyDescent="0.25">
      <c r="A38" s="34">
        <v>54</v>
      </c>
      <c r="B38" s="35">
        <v>22210760</v>
      </c>
      <c r="C38" s="36" t="s">
        <v>28</v>
      </c>
      <c r="D38" s="35" t="s">
        <v>26</v>
      </c>
      <c r="E38" s="18" t="s">
        <v>60</v>
      </c>
      <c r="F38" s="18">
        <v>1</v>
      </c>
      <c r="G38" s="28">
        <v>400</v>
      </c>
      <c r="H38" s="35">
        <f xml:space="preserve"> SUMIFS(Tabla2[CANTIDAD CARGADAS],Tabla2[CODIGO],Tabla2[[#This Row],[CODIGO]]) - SUMIFS(TABLA_CIERRES[CANTIDAD],TABLA_CIERRES[Codigo],Tabla2[[#This Row],[CODIGO]])</f>
        <v>1</v>
      </c>
      <c r="I38" s="37">
        <v>1400</v>
      </c>
      <c r="J38" s="38">
        <f>Tabla2[[#This Row],[CANTIDAD CARGADAS]]*Tabla2[[#This Row],[COSTOS]]</f>
        <v>400</v>
      </c>
      <c r="K38" s="32"/>
    </row>
    <row r="39" spans="1:11" x14ac:dyDescent="0.25">
      <c r="A39" s="34">
        <v>55</v>
      </c>
      <c r="B39" s="35">
        <v>137019705</v>
      </c>
      <c r="C39" s="36" t="s">
        <v>28</v>
      </c>
      <c r="D39" s="35" t="s">
        <v>26</v>
      </c>
      <c r="E39" s="18" t="s">
        <v>61</v>
      </c>
      <c r="F39" s="18">
        <v>35</v>
      </c>
      <c r="G39" s="28">
        <v>400</v>
      </c>
      <c r="H39" s="35">
        <f xml:space="preserve"> SUMIFS(Tabla2[CANTIDAD CARGADAS],Tabla2[CODIGO],Tabla2[[#This Row],[CODIGO]]) - SUMIFS(TABLA_CIERRES[CANTIDAD],TABLA_CIERRES[Codigo],Tabla2[[#This Row],[CODIGO]])</f>
        <v>35</v>
      </c>
      <c r="I39" s="37">
        <v>1000</v>
      </c>
      <c r="J39" s="38">
        <f>Tabla2[[#This Row],[CANTIDAD CARGADAS]]*Tabla2[[#This Row],[COSTOS]]</f>
        <v>14000</v>
      </c>
      <c r="K39" s="32"/>
    </row>
    <row r="40" spans="1:11" x14ac:dyDescent="0.25">
      <c r="A40" s="34">
        <v>56</v>
      </c>
      <c r="B40" s="35">
        <v>628020730</v>
      </c>
      <c r="C40" s="36" t="s">
        <v>28</v>
      </c>
      <c r="D40" s="35" t="s">
        <v>26</v>
      </c>
      <c r="E40" s="18" t="s">
        <v>62</v>
      </c>
      <c r="F40" s="18">
        <v>22</v>
      </c>
      <c r="G40" s="28">
        <v>400</v>
      </c>
      <c r="H40" s="35">
        <f xml:space="preserve"> SUMIFS(Tabla2[CANTIDAD CARGADAS],Tabla2[CODIGO],Tabla2[[#This Row],[CODIGO]]) - SUMIFS(TABLA_CIERRES[CANTIDAD],TABLA_CIERRES[Codigo],Tabla2[[#This Row],[CODIGO]])</f>
        <v>22</v>
      </c>
      <c r="I40" s="37">
        <v>1000</v>
      </c>
      <c r="J40" s="38">
        <f>Tabla2[[#This Row],[CANTIDAD CARGADAS]]*Tabla2[[#This Row],[COSTOS]]</f>
        <v>8800</v>
      </c>
      <c r="K40" s="32"/>
    </row>
    <row r="41" spans="1:11" x14ac:dyDescent="0.25">
      <c r="A41" s="34">
        <v>57</v>
      </c>
      <c r="B41" s="35">
        <v>628020729</v>
      </c>
      <c r="C41" s="36" t="s">
        <v>28</v>
      </c>
      <c r="D41" s="35" t="s">
        <v>26</v>
      </c>
      <c r="E41" s="18" t="s">
        <v>63</v>
      </c>
      <c r="F41" s="18">
        <v>8</v>
      </c>
      <c r="G41" s="28">
        <v>200</v>
      </c>
      <c r="H41" s="35">
        <f xml:space="preserve"> SUMIFS(Tabla2[CANTIDAD CARGADAS],Tabla2[CODIGO],Tabla2[[#This Row],[CODIGO]]) - SUMIFS(TABLA_CIERRES[CANTIDAD],TABLA_CIERRES[Codigo],Tabla2[[#This Row],[CODIGO]])</f>
        <v>8</v>
      </c>
      <c r="I41" s="37">
        <v>600</v>
      </c>
      <c r="J41" s="38">
        <f>Tabla2[[#This Row],[CANTIDAD CARGADAS]]*Tabla2[[#This Row],[COSTOS]]</f>
        <v>1600</v>
      </c>
      <c r="K41" s="32"/>
    </row>
    <row r="42" spans="1:11" x14ac:dyDescent="0.25">
      <c r="A42" s="34">
        <v>58</v>
      </c>
      <c r="B42" s="35">
        <v>955103611</v>
      </c>
      <c r="C42" s="36" t="s">
        <v>28</v>
      </c>
      <c r="D42" s="35" t="s">
        <v>26</v>
      </c>
      <c r="E42" s="18" t="s">
        <v>64</v>
      </c>
      <c r="F42" s="18">
        <v>7</v>
      </c>
      <c r="G42" s="28">
        <v>400</v>
      </c>
      <c r="H42" s="35">
        <f xml:space="preserve"> SUMIFS(Tabla2[CANTIDAD CARGADAS],Tabla2[CODIGO],Tabla2[[#This Row],[CODIGO]]) - SUMIFS(TABLA_CIERRES[CANTIDAD],TABLA_CIERRES[Codigo],Tabla2[[#This Row],[CODIGO]])</f>
        <v>7</v>
      </c>
      <c r="I42" s="37">
        <v>1400</v>
      </c>
      <c r="J42" s="38">
        <f>Tabla2[[#This Row],[CANTIDAD CARGADAS]]*Tabla2[[#This Row],[COSTOS]]</f>
        <v>2800</v>
      </c>
      <c r="K42" s="32"/>
    </row>
    <row r="43" spans="1:11" x14ac:dyDescent="0.25">
      <c r="A43" s="34">
        <v>59</v>
      </c>
      <c r="B43" s="35">
        <v>698838806</v>
      </c>
      <c r="C43" s="36" t="s">
        <v>28</v>
      </c>
      <c r="D43" s="35" t="s">
        <v>26</v>
      </c>
      <c r="E43" s="18" t="s">
        <v>65</v>
      </c>
      <c r="F43" s="18">
        <v>14</v>
      </c>
      <c r="G43" s="28">
        <v>400</v>
      </c>
      <c r="H43" s="35">
        <f xml:space="preserve"> SUMIFS(Tabla2[CANTIDAD CARGADAS],Tabla2[CODIGO],Tabla2[[#This Row],[CODIGO]]) - SUMIFS(TABLA_CIERRES[CANTIDAD],TABLA_CIERRES[Codigo],Tabla2[[#This Row],[CODIGO]])</f>
        <v>14</v>
      </c>
      <c r="I43" s="37">
        <v>1000</v>
      </c>
      <c r="J43" s="38">
        <f>Tabla2[[#This Row],[CANTIDAD CARGADAS]]*Tabla2[[#This Row],[COSTOS]]</f>
        <v>5600</v>
      </c>
      <c r="K43" s="32"/>
    </row>
    <row r="44" spans="1:11" x14ac:dyDescent="0.25">
      <c r="A44" s="34">
        <v>60</v>
      </c>
      <c r="B44" s="35">
        <v>698838807</v>
      </c>
      <c r="C44" s="36" t="s">
        <v>28</v>
      </c>
      <c r="D44" s="35" t="s">
        <v>26</v>
      </c>
      <c r="E44" s="18" t="s">
        <v>66</v>
      </c>
      <c r="F44" s="18">
        <v>10</v>
      </c>
      <c r="G44" s="28">
        <v>200</v>
      </c>
      <c r="H44" s="35">
        <f xml:space="preserve"> SUMIFS(Tabla2[CANTIDAD CARGADAS],Tabla2[CODIGO],Tabla2[[#This Row],[CODIGO]]) - SUMIFS(TABLA_CIERRES[CANTIDAD],TABLA_CIERRES[Codigo],Tabla2[[#This Row],[CODIGO]])</f>
        <v>10</v>
      </c>
      <c r="I44" s="37">
        <v>600</v>
      </c>
      <c r="J44" s="38">
        <f>Tabla2[[#This Row],[CANTIDAD CARGADAS]]*Tabla2[[#This Row],[COSTOS]]</f>
        <v>2000</v>
      </c>
      <c r="K44" s="32"/>
    </row>
    <row r="45" spans="1:11" x14ac:dyDescent="0.25">
      <c r="A45" s="34">
        <v>61</v>
      </c>
      <c r="B45" s="35">
        <v>955103610</v>
      </c>
      <c r="C45" s="36" t="s">
        <v>28</v>
      </c>
      <c r="D45" s="35" t="s">
        <v>26</v>
      </c>
      <c r="E45" s="18" t="s">
        <v>67</v>
      </c>
      <c r="F45" s="18">
        <v>1</v>
      </c>
      <c r="G45" s="28">
        <v>400</v>
      </c>
      <c r="H45" s="35">
        <f xml:space="preserve"> SUMIFS(Tabla2[CANTIDAD CARGADAS],Tabla2[CODIGO],Tabla2[[#This Row],[CODIGO]]) - SUMIFS(TABLA_CIERRES[CANTIDAD],TABLA_CIERRES[Codigo],Tabla2[[#This Row],[CODIGO]])</f>
        <v>1</v>
      </c>
      <c r="I45" s="37">
        <v>1400</v>
      </c>
      <c r="J45" s="38">
        <f>Tabla2[[#This Row],[CANTIDAD CARGADAS]]*Tabla2[[#This Row],[COSTOS]]</f>
        <v>400</v>
      </c>
      <c r="K45" s="32"/>
    </row>
    <row r="46" spans="1:11" x14ac:dyDescent="0.25">
      <c r="A46" s="34">
        <v>62</v>
      </c>
      <c r="B46" s="35">
        <v>716471959</v>
      </c>
      <c r="C46" s="36" t="s">
        <v>28</v>
      </c>
      <c r="D46" s="35" t="s">
        <v>26</v>
      </c>
      <c r="E46" s="18" t="s">
        <v>68</v>
      </c>
      <c r="F46" s="18">
        <v>5</v>
      </c>
      <c r="G46" s="28">
        <v>500</v>
      </c>
      <c r="H46" s="35">
        <f xml:space="preserve"> SUMIFS(Tabla2[CANTIDAD CARGADAS],Tabla2[CODIGO],Tabla2[[#This Row],[CODIGO]]) - SUMIFS(TABLA_CIERRES[CANTIDAD],TABLA_CIERRES[Codigo],Tabla2[[#This Row],[CODIGO]])</f>
        <v>5</v>
      </c>
      <c r="I46" s="37">
        <v>1400</v>
      </c>
      <c r="J46" s="38">
        <f>Tabla2[[#This Row],[CANTIDAD CARGADAS]]*Tabla2[[#This Row],[COSTOS]]</f>
        <v>2500</v>
      </c>
      <c r="K46" s="32"/>
    </row>
    <row r="47" spans="1:11" x14ac:dyDescent="0.25">
      <c r="A47" s="34">
        <v>63</v>
      </c>
      <c r="B47" s="35">
        <v>211712551</v>
      </c>
      <c r="C47" s="36" t="s">
        <v>28</v>
      </c>
      <c r="D47" s="35" t="s">
        <v>26</v>
      </c>
      <c r="E47" s="18" t="s">
        <v>69</v>
      </c>
      <c r="F47" s="18">
        <v>15</v>
      </c>
      <c r="G47" s="28">
        <v>400</v>
      </c>
      <c r="H47" s="35">
        <f xml:space="preserve"> SUMIFS(Tabla2[CANTIDAD CARGADAS],Tabla2[CODIGO],Tabla2[[#This Row],[CODIGO]]) - SUMIFS(TABLA_CIERRES[CANTIDAD],TABLA_CIERRES[Codigo],Tabla2[[#This Row],[CODIGO]])</f>
        <v>15</v>
      </c>
      <c r="I47" s="37">
        <v>1000</v>
      </c>
      <c r="J47" s="38">
        <f>Tabla2[[#This Row],[CANTIDAD CARGADAS]]*Tabla2[[#This Row],[COSTOS]]</f>
        <v>6000</v>
      </c>
      <c r="K47" s="32"/>
    </row>
    <row r="48" spans="1:11" x14ac:dyDescent="0.25">
      <c r="A48" s="34">
        <v>64</v>
      </c>
      <c r="B48" s="35">
        <v>211712552</v>
      </c>
      <c r="C48" s="36" t="s">
        <v>28</v>
      </c>
      <c r="D48" s="35" t="s">
        <v>26</v>
      </c>
      <c r="E48" s="18" t="s">
        <v>70</v>
      </c>
      <c r="F48" s="18">
        <v>17</v>
      </c>
      <c r="G48" s="28">
        <v>200</v>
      </c>
      <c r="H48" s="35">
        <f xml:space="preserve"> SUMIFS(Tabla2[CANTIDAD CARGADAS],Tabla2[CODIGO],Tabla2[[#This Row],[CODIGO]]) - SUMIFS(TABLA_CIERRES[CANTIDAD],TABLA_CIERRES[Codigo],Tabla2[[#This Row],[CODIGO]])</f>
        <v>17</v>
      </c>
      <c r="I48" s="37">
        <v>600</v>
      </c>
      <c r="J48" s="38">
        <f>Tabla2[[#This Row],[CANTIDAD CARGADAS]]*Tabla2[[#This Row],[COSTOS]]</f>
        <v>3400</v>
      </c>
      <c r="K48" s="32"/>
    </row>
    <row r="49" spans="1:11" x14ac:dyDescent="0.25">
      <c r="A49" s="34">
        <v>65</v>
      </c>
      <c r="B49" s="35">
        <v>18782166</v>
      </c>
      <c r="C49" s="36" t="s">
        <v>28</v>
      </c>
      <c r="D49" s="35" t="s">
        <v>26</v>
      </c>
      <c r="E49" s="18" t="s">
        <v>71</v>
      </c>
      <c r="F49" s="18">
        <v>10</v>
      </c>
      <c r="G49" s="28">
        <v>500</v>
      </c>
      <c r="H49" s="35">
        <f xml:space="preserve"> SUMIFS(Tabla2[CANTIDAD CARGADAS],Tabla2[CODIGO],Tabla2[[#This Row],[CODIGO]]) - SUMIFS(TABLA_CIERRES[CANTIDAD],TABLA_CIERRES[Codigo],Tabla2[[#This Row],[CODIGO]])</f>
        <v>10</v>
      </c>
      <c r="I49" s="37">
        <v>1400</v>
      </c>
      <c r="J49" s="38">
        <f>Tabla2[[#This Row],[CANTIDAD CARGADAS]]*Tabla2[[#This Row],[COSTOS]]</f>
        <v>5000</v>
      </c>
      <c r="K49" s="32"/>
    </row>
    <row r="50" spans="1:11" x14ac:dyDescent="0.25">
      <c r="A50" s="34">
        <v>66</v>
      </c>
      <c r="B50" s="35">
        <v>18782165</v>
      </c>
      <c r="C50" s="36" t="s">
        <v>28</v>
      </c>
      <c r="D50" s="35" t="s">
        <v>26</v>
      </c>
      <c r="E50" s="18" t="s">
        <v>72</v>
      </c>
      <c r="F50" s="18">
        <v>1</v>
      </c>
      <c r="G50" s="28">
        <v>500</v>
      </c>
      <c r="H50" s="35">
        <f xml:space="preserve"> SUMIFS(Tabla2[CANTIDAD CARGADAS],Tabla2[CODIGO],Tabla2[[#This Row],[CODIGO]]) - SUMIFS(TABLA_CIERRES[CANTIDAD],TABLA_CIERRES[Codigo],Tabla2[[#This Row],[CODIGO]])</f>
        <v>1</v>
      </c>
      <c r="I50" s="37">
        <v>1400</v>
      </c>
      <c r="J50" s="38">
        <f>Tabla2[[#This Row],[CANTIDAD CARGADAS]]*Tabla2[[#This Row],[COSTOS]]</f>
        <v>500</v>
      </c>
      <c r="K50" s="32"/>
    </row>
    <row r="51" spans="1:11" x14ac:dyDescent="0.25">
      <c r="A51" s="34">
        <v>67</v>
      </c>
      <c r="B51" s="35">
        <v>716471960</v>
      </c>
      <c r="C51" s="36" t="s">
        <v>28</v>
      </c>
      <c r="D51" s="35" t="s">
        <v>26</v>
      </c>
      <c r="E51" s="18" t="s">
        <v>73</v>
      </c>
      <c r="F51" s="18">
        <v>10</v>
      </c>
      <c r="G51" s="28">
        <v>200</v>
      </c>
      <c r="H51" s="35">
        <f xml:space="preserve"> SUMIFS(Tabla2[CANTIDAD CARGADAS],Tabla2[CODIGO],Tabla2[[#This Row],[CODIGO]]) - SUMIFS(TABLA_CIERRES[CANTIDAD],TABLA_CIERRES[Codigo],Tabla2[[#This Row],[CODIGO]])</f>
        <v>10</v>
      </c>
      <c r="I51" s="37">
        <v>600</v>
      </c>
      <c r="J51" s="38">
        <f>Tabla2[[#This Row],[CANTIDAD CARGADAS]]*Tabla2[[#This Row],[COSTOS]]</f>
        <v>2000</v>
      </c>
      <c r="K51" s="32"/>
    </row>
    <row r="52" spans="1:11" x14ac:dyDescent="0.25">
      <c r="A52" s="34">
        <v>68</v>
      </c>
      <c r="B52" s="35">
        <v>335501314</v>
      </c>
      <c r="C52" s="36" t="s">
        <v>28</v>
      </c>
      <c r="D52" s="35" t="s">
        <v>26</v>
      </c>
      <c r="E52" s="18" t="s">
        <v>74</v>
      </c>
      <c r="F52" s="18">
        <v>10</v>
      </c>
      <c r="G52" s="28">
        <v>500</v>
      </c>
      <c r="H52" s="35">
        <f xml:space="preserve"> SUMIFS(Tabla2[CANTIDAD CARGADAS],Tabla2[CODIGO],Tabla2[[#This Row],[CODIGO]]) - SUMIFS(TABLA_CIERRES[CANTIDAD],TABLA_CIERRES[Codigo],Tabla2[[#This Row],[CODIGO]])</f>
        <v>10</v>
      </c>
      <c r="I52" s="37">
        <v>14000</v>
      </c>
      <c r="J52" s="38">
        <f>Tabla2[[#This Row],[CANTIDAD CARGADAS]]*Tabla2[[#This Row],[COSTOS]]</f>
        <v>5000</v>
      </c>
      <c r="K52" s="32"/>
    </row>
    <row r="53" spans="1:11" x14ac:dyDescent="0.25">
      <c r="A53" s="34">
        <v>69</v>
      </c>
      <c r="B53" s="35">
        <v>54897022</v>
      </c>
      <c r="C53" s="36" t="s">
        <v>28</v>
      </c>
      <c r="D53" s="35" t="s">
        <v>26</v>
      </c>
      <c r="E53" s="18" t="s">
        <v>75</v>
      </c>
      <c r="F53" s="18">
        <v>7</v>
      </c>
      <c r="G53" s="28">
        <v>500</v>
      </c>
      <c r="H53" s="35">
        <f xml:space="preserve"> SUMIFS(Tabla2[CANTIDAD CARGADAS],Tabla2[CODIGO],Tabla2[[#This Row],[CODIGO]]) - SUMIFS(TABLA_CIERRES[CANTIDAD],TABLA_CIERRES[Codigo],Tabla2[[#This Row],[CODIGO]])</f>
        <v>7</v>
      </c>
      <c r="I53" s="37">
        <v>1400</v>
      </c>
      <c r="J53" s="38">
        <f>Tabla2[[#This Row],[CANTIDAD CARGADAS]]*Tabla2[[#This Row],[COSTOS]]</f>
        <v>3500</v>
      </c>
      <c r="K53" s="32"/>
    </row>
    <row r="54" spans="1:11" x14ac:dyDescent="0.25">
      <c r="A54" s="34">
        <v>70</v>
      </c>
      <c r="B54" s="35">
        <v>335501313</v>
      </c>
      <c r="C54" s="36" t="s">
        <v>28</v>
      </c>
      <c r="D54" s="35" t="s">
        <v>26</v>
      </c>
      <c r="E54" s="18" t="s">
        <v>76</v>
      </c>
      <c r="F54" s="18">
        <v>2</v>
      </c>
      <c r="G54" s="28">
        <v>200</v>
      </c>
      <c r="H54" s="35">
        <f xml:space="preserve"> SUMIFS(Tabla2[CANTIDAD CARGADAS],Tabla2[CODIGO],Tabla2[[#This Row],[CODIGO]]) - SUMIFS(TABLA_CIERRES[CANTIDAD],TABLA_CIERRES[Codigo],Tabla2[[#This Row],[CODIGO]])</f>
        <v>2</v>
      </c>
      <c r="I54" s="37">
        <v>600</v>
      </c>
      <c r="J54" s="38">
        <f>Tabla2[[#This Row],[CANTIDAD CARGADAS]]*Tabla2[[#This Row],[COSTOS]]</f>
        <v>400</v>
      </c>
      <c r="K54" s="32"/>
    </row>
    <row r="55" spans="1:11" x14ac:dyDescent="0.25">
      <c r="A55" s="34">
        <v>71</v>
      </c>
      <c r="B55" s="35">
        <v>54897021</v>
      </c>
      <c r="C55" s="36" t="s">
        <v>28</v>
      </c>
      <c r="D55" s="35" t="s">
        <v>26</v>
      </c>
      <c r="E55" s="18" t="s">
        <v>77</v>
      </c>
      <c r="F55" s="18">
        <v>5</v>
      </c>
      <c r="G55" s="28">
        <v>400</v>
      </c>
      <c r="H55" s="35">
        <f xml:space="preserve"> SUMIFS(Tabla2[CANTIDAD CARGADAS],Tabla2[CODIGO],Tabla2[[#This Row],[CODIGO]]) - SUMIFS(TABLA_CIERRES[CANTIDAD],TABLA_CIERRES[Codigo],Tabla2[[#This Row],[CODIGO]])</f>
        <v>5</v>
      </c>
      <c r="I55" s="37">
        <v>1000</v>
      </c>
      <c r="J55" s="38">
        <f>Tabla2[[#This Row],[CANTIDAD CARGADAS]]*Tabla2[[#This Row],[COSTOS]]</f>
        <v>2000</v>
      </c>
      <c r="K55" s="32"/>
    </row>
    <row r="56" spans="1:11" x14ac:dyDescent="0.25">
      <c r="A56" s="34">
        <v>72</v>
      </c>
      <c r="B56" s="35">
        <v>571063756</v>
      </c>
      <c r="C56" s="36" t="s">
        <v>78</v>
      </c>
      <c r="D56" s="35" t="s">
        <v>26</v>
      </c>
      <c r="E56" s="18" t="s">
        <v>79</v>
      </c>
      <c r="F56" s="18">
        <v>16</v>
      </c>
      <c r="G56" s="28">
        <v>400</v>
      </c>
      <c r="H56" s="35">
        <f xml:space="preserve"> SUMIFS(Tabla2[CANTIDAD CARGADAS],Tabla2[CODIGO],Tabla2[[#This Row],[CODIGO]]) - SUMIFS(TABLA_CIERRES[CANTIDAD],TABLA_CIERRES[Codigo],Tabla2[[#This Row],[CODIGO]])</f>
        <v>16</v>
      </c>
      <c r="I56" s="37">
        <v>1000</v>
      </c>
      <c r="J56" s="38">
        <f>Tabla2[[#This Row],[CANTIDAD CARGADAS]]*Tabla2[[#This Row],[COSTOS]]</f>
        <v>6400</v>
      </c>
      <c r="K56" s="32"/>
    </row>
    <row r="57" spans="1:11" x14ac:dyDescent="0.25">
      <c r="A57" s="34">
        <v>73</v>
      </c>
      <c r="B57" s="35">
        <v>739935612</v>
      </c>
      <c r="C57" s="36" t="s">
        <v>78</v>
      </c>
      <c r="D57" s="35" t="s">
        <v>26</v>
      </c>
      <c r="E57" s="18" t="s">
        <v>80</v>
      </c>
      <c r="F57" s="18">
        <v>2</v>
      </c>
      <c r="G57" s="28">
        <v>600</v>
      </c>
      <c r="H57" s="35">
        <f xml:space="preserve"> SUMIFS(Tabla2[CANTIDAD CARGADAS],Tabla2[CODIGO],Tabla2[[#This Row],[CODIGO]]) - SUMIFS(TABLA_CIERRES[CANTIDAD],TABLA_CIERRES[Codigo],Tabla2[[#This Row],[CODIGO]])</f>
        <v>2</v>
      </c>
      <c r="I57" s="37">
        <v>1400</v>
      </c>
      <c r="J57" s="38">
        <f>Tabla2[[#This Row],[CANTIDAD CARGADAS]]*Tabla2[[#This Row],[COSTOS]]</f>
        <v>1200</v>
      </c>
      <c r="K57" s="32"/>
    </row>
    <row r="58" spans="1:11" x14ac:dyDescent="0.25">
      <c r="A58" s="34">
        <v>74</v>
      </c>
      <c r="B58" s="35">
        <v>955450662</v>
      </c>
      <c r="C58" s="36" t="s">
        <v>78</v>
      </c>
      <c r="D58" s="35" t="s">
        <v>26</v>
      </c>
      <c r="E58" s="18" t="s">
        <v>81</v>
      </c>
      <c r="F58" s="18">
        <v>10</v>
      </c>
      <c r="G58" s="28">
        <v>200</v>
      </c>
      <c r="H58" s="35">
        <f xml:space="preserve"> SUMIFS(Tabla2[CANTIDAD CARGADAS],Tabla2[CODIGO],Tabla2[[#This Row],[CODIGO]]) - SUMIFS(TABLA_CIERRES[CANTIDAD],TABLA_CIERRES[Codigo],Tabla2[[#This Row],[CODIGO]])</f>
        <v>10</v>
      </c>
      <c r="I58" s="37">
        <v>600</v>
      </c>
      <c r="J58" s="38">
        <f>Tabla2[[#This Row],[CANTIDAD CARGADAS]]*Tabla2[[#This Row],[COSTOS]]</f>
        <v>2000</v>
      </c>
      <c r="K58" s="32"/>
    </row>
    <row r="59" spans="1:11" x14ac:dyDescent="0.25">
      <c r="A59" s="34">
        <v>75</v>
      </c>
      <c r="B59" s="35">
        <v>659890161</v>
      </c>
      <c r="C59" s="36" t="s">
        <v>78</v>
      </c>
      <c r="D59" s="35" t="s">
        <v>26</v>
      </c>
      <c r="E59" s="18" t="s">
        <v>82</v>
      </c>
      <c r="F59" s="18">
        <v>4</v>
      </c>
      <c r="G59" s="28">
        <v>600</v>
      </c>
      <c r="H59" s="35">
        <f xml:space="preserve"> SUMIFS(Tabla2[CANTIDAD CARGADAS],Tabla2[CODIGO],Tabla2[[#This Row],[CODIGO]]) - SUMIFS(TABLA_CIERRES[CANTIDAD],TABLA_CIERRES[Codigo],Tabla2[[#This Row],[CODIGO]])</f>
        <v>4</v>
      </c>
      <c r="I59" s="37">
        <v>1400</v>
      </c>
      <c r="J59" s="38">
        <f>Tabla2[[#This Row],[CANTIDAD CARGADAS]]*Tabla2[[#This Row],[COSTOS]]</f>
        <v>2400</v>
      </c>
    </row>
    <row r="60" spans="1:11" x14ac:dyDescent="0.25">
      <c r="A60" s="34">
        <v>76</v>
      </c>
      <c r="B60" s="35">
        <v>145438526</v>
      </c>
      <c r="C60" s="36" t="s">
        <v>78</v>
      </c>
      <c r="D60" s="35" t="s">
        <v>26</v>
      </c>
      <c r="E60" s="18" t="s">
        <v>83</v>
      </c>
      <c r="F60" s="18">
        <v>8</v>
      </c>
      <c r="G60" s="28">
        <v>400</v>
      </c>
      <c r="H60" s="35">
        <f xml:space="preserve"> SUMIFS(Tabla2[CANTIDAD CARGADAS],Tabla2[CODIGO],Tabla2[[#This Row],[CODIGO]]) - SUMIFS(TABLA_CIERRES[CANTIDAD],TABLA_CIERRES[Codigo],Tabla2[[#This Row],[CODIGO]])</f>
        <v>8</v>
      </c>
      <c r="I60" s="37">
        <v>1000</v>
      </c>
      <c r="J60" s="38">
        <f>Tabla2[[#This Row],[CANTIDAD CARGADAS]]*Tabla2[[#This Row],[COSTOS]]</f>
        <v>3200</v>
      </c>
    </row>
    <row r="61" spans="1:11" x14ac:dyDescent="0.25">
      <c r="A61" s="34">
        <v>77</v>
      </c>
      <c r="B61" s="35">
        <v>386010830</v>
      </c>
      <c r="C61" s="36" t="s">
        <v>78</v>
      </c>
      <c r="D61" s="35" t="s">
        <v>26</v>
      </c>
      <c r="E61" s="18" t="s">
        <v>84</v>
      </c>
      <c r="F61" s="18">
        <v>3</v>
      </c>
      <c r="G61" s="28">
        <v>200</v>
      </c>
      <c r="H61" s="35">
        <f xml:space="preserve"> SUMIFS(Tabla2[CANTIDAD CARGADAS],Tabla2[CODIGO],Tabla2[[#This Row],[CODIGO]]) - SUMIFS(TABLA_CIERRES[CANTIDAD],TABLA_CIERRES[Codigo],Tabla2[[#This Row],[CODIGO]])</f>
        <v>3</v>
      </c>
      <c r="I61" s="37">
        <v>600</v>
      </c>
      <c r="J61" s="38">
        <f>Tabla2[[#This Row],[CANTIDAD CARGADAS]]*Tabla2[[#This Row],[COSTOS]]</f>
        <v>600</v>
      </c>
    </row>
    <row r="62" spans="1:11" x14ac:dyDescent="0.25">
      <c r="A62" s="34">
        <v>78</v>
      </c>
      <c r="B62" s="35">
        <v>548275538</v>
      </c>
      <c r="C62" s="36" t="s">
        <v>78</v>
      </c>
      <c r="D62" s="35" t="s">
        <v>26</v>
      </c>
      <c r="E62" s="18" t="s">
        <v>85</v>
      </c>
      <c r="F62" s="18">
        <v>2</v>
      </c>
      <c r="G62" s="28">
        <v>400</v>
      </c>
      <c r="H62" s="35">
        <f xml:space="preserve"> SUMIFS(Tabla2[CANTIDAD CARGADAS],Tabla2[CODIGO],Tabla2[[#This Row],[CODIGO]]) - SUMIFS(TABLA_CIERRES[CANTIDAD],TABLA_CIERRES[Codigo],Tabla2[[#This Row],[CODIGO]])</f>
        <v>2</v>
      </c>
      <c r="I62" s="37">
        <v>1000</v>
      </c>
      <c r="J62" s="38">
        <f>Tabla2[[#This Row],[CANTIDAD CARGADAS]]*Tabla2[[#This Row],[COSTOS]]</f>
        <v>800</v>
      </c>
    </row>
    <row r="63" spans="1:11" x14ac:dyDescent="0.25">
      <c r="A63" s="34">
        <v>79</v>
      </c>
      <c r="B63" s="35">
        <v>412771599</v>
      </c>
      <c r="C63" s="36" t="s">
        <v>78</v>
      </c>
      <c r="D63" s="35" t="s">
        <v>26</v>
      </c>
      <c r="E63" s="18" t="s">
        <v>86</v>
      </c>
      <c r="F63" s="18">
        <v>8</v>
      </c>
      <c r="G63" s="28">
        <v>200</v>
      </c>
      <c r="H63" s="35">
        <f xml:space="preserve"> SUMIFS(Tabla2[CANTIDAD CARGADAS],Tabla2[CODIGO],Tabla2[[#This Row],[CODIGO]]) - SUMIFS(TABLA_CIERRES[CANTIDAD],TABLA_CIERRES[Codigo],Tabla2[[#This Row],[CODIGO]])</f>
        <v>8</v>
      </c>
      <c r="I63" s="37">
        <v>600</v>
      </c>
      <c r="J63" s="38">
        <f>Tabla2[[#This Row],[CANTIDAD CARGADAS]]*Tabla2[[#This Row],[COSTOS]]</f>
        <v>1600</v>
      </c>
    </row>
    <row r="64" spans="1:11" x14ac:dyDescent="0.25">
      <c r="A64" s="34">
        <v>80</v>
      </c>
      <c r="B64" s="35">
        <v>727779863</v>
      </c>
      <c r="C64" s="36" t="s">
        <v>78</v>
      </c>
      <c r="D64" s="35" t="s">
        <v>26</v>
      </c>
      <c r="E64" s="18" t="s">
        <v>87</v>
      </c>
      <c r="F64" s="18">
        <v>2</v>
      </c>
      <c r="G64" s="28">
        <v>600</v>
      </c>
      <c r="H64" s="35">
        <f xml:space="preserve"> SUMIFS(Tabla2[CANTIDAD CARGADAS],Tabla2[CODIGO],Tabla2[[#This Row],[CODIGO]]) - SUMIFS(TABLA_CIERRES[CANTIDAD],TABLA_CIERRES[Codigo],Tabla2[[#This Row],[CODIGO]])</f>
        <v>2</v>
      </c>
      <c r="I64" s="37">
        <v>1400</v>
      </c>
      <c r="J64" s="38">
        <f>Tabla2[[#This Row],[CANTIDAD CARGADAS]]*Tabla2[[#This Row],[COSTOS]]</f>
        <v>1200</v>
      </c>
    </row>
    <row r="65" spans="1:10" x14ac:dyDescent="0.25">
      <c r="A65" s="34">
        <v>81</v>
      </c>
      <c r="B65" s="35">
        <v>993340492</v>
      </c>
      <c r="C65" s="36" t="s">
        <v>78</v>
      </c>
      <c r="D65" s="35" t="s">
        <v>26</v>
      </c>
      <c r="E65" s="18" t="s">
        <v>88</v>
      </c>
      <c r="F65" s="18">
        <v>5</v>
      </c>
      <c r="G65" s="28">
        <v>200</v>
      </c>
      <c r="H65" s="35">
        <f xml:space="preserve"> SUMIFS(Tabla2[CANTIDAD CARGADAS],Tabla2[CODIGO],Tabla2[[#This Row],[CODIGO]]) - SUMIFS(TABLA_CIERRES[CANTIDAD],TABLA_CIERRES[Codigo],Tabla2[[#This Row],[CODIGO]])</f>
        <v>5</v>
      </c>
      <c r="I65" s="37">
        <v>600</v>
      </c>
      <c r="J65" s="38">
        <f>Tabla2[[#This Row],[CANTIDAD CARGADAS]]*Tabla2[[#This Row],[COSTOS]]</f>
        <v>1000</v>
      </c>
    </row>
    <row r="66" spans="1:10" x14ac:dyDescent="0.25">
      <c r="A66" s="34">
        <v>82</v>
      </c>
      <c r="B66" s="35">
        <v>32293693</v>
      </c>
      <c r="C66" s="36" t="s">
        <v>78</v>
      </c>
      <c r="D66" s="35" t="s">
        <v>26</v>
      </c>
      <c r="E66" s="18" t="s">
        <v>89</v>
      </c>
      <c r="F66" s="18">
        <v>3</v>
      </c>
      <c r="G66" s="28">
        <v>600</v>
      </c>
      <c r="H66" s="35">
        <f xml:space="preserve"> SUMIFS(Tabla2[CANTIDAD CARGADAS],Tabla2[CODIGO],Tabla2[[#This Row],[CODIGO]]) - SUMIFS(TABLA_CIERRES[CANTIDAD],TABLA_CIERRES[Codigo],Tabla2[[#This Row],[CODIGO]])</f>
        <v>3</v>
      </c>
      <c r="I66" s="37">
        <v>1400</v>
      </c>
      <c r="J66" s="38">
        <f>Tabla2[[#This Row],[CANTIDAD CARGADAS]]*Tabla2[[#This Row],[COSTOS]]</f>
        <v>1800</v>
      </c>
    </row>
    <row r="67" spans="1:10" x14ac:dyDescent="0.25">
      <c r="A67" s="34">
        <v>83</v>
      </c>
      <c r="B67" s="35">
        <v>752983332</v>
      </c>
      <c r="C67" s="36" t="s">
        <v>78</v>
      </c>
      <c r="D67" s="35" t="s">
        <v>26</v>
      </c>
      <c r="E67" s="18" t="s">
        <v>90</v>
      </c>
      <c r="F67" s="18">
        <v>3</v>
      </c>
      <c r="G67" s="28">
        <v>400</v>
      </c>
      <c r="H67" s="35">
        <f xml:space="preserve"> SUMIFS(Tabla2[CANTIDAD CARGADAS],Tabla2[CODIGO],Tabla2[[#This Row],[CODIGO]]) - SUMIFS(TABLA_CIERRES[CANTIDAD],TABLA_CIERRES[Codigo],Tabla2[[#This Row],[CODIGO]])</f>
        <v>3</v>
      </c>
      <c r="I67" s="37">
        <v>1000</v>
      </c>
      <c r="J67" s="38">
        <f>Tabla2[[#This Row],[CANTIDAD CARGADAS]]*Tabla2[[#This Row],[COSTOS]]</f>
        <v>1200</v>
      </c>
    </row>
    <row r="68" spans="1:10" x14ac:dyDescent="0.25">
      <c r="A68" s="34">
        <v>84</v>
      </c>
      <c r="B68" s="35">
        <v>25755623</v>
      </c>
      <c r="C68" s="36" t="s">
        <v>78</v>
      </c>
      <c r="D68" s="35" t="s">
        <v>26</v>
      </c>
      <c r="E68" s="18" t="s">
        <v>91</v>
      </c>
      <c r="F68" s="18">
        <v>9</v>
      </c>
      <c r="G68" s="28">
        <v>200</v>
      </c>
      <c r="H68" s="35">
        <f xml:space="preserve"> SUMIFS(Tabla2[CANTIDAD CARGADAS],Tabla2[CODIGO],Tabla2[[#This Row],[CODIGO]]) - SUMIFS(TABLA_CIERRES[CANTIDAD],TABLA_CIERRES[Codigo],Tabla2[[#This Row],[CODIGO]])</f>
        <v>9</v>
      </c>
      <c r="I68" s="37">
        <v>600</v>
      </c>
      <c r="J68" s="38">
        <f>Tabla2[[#This Row],[CANTIDAD CARGADAS]]*Tabla2[[#This Row],[COSTOS]]</f>
        <v>1800</v>
      </c>
    </row>
    <row r="69" spans="1:10" x14ac:dyDescent="0.25">
      <c r="A69" s="34">
        <v>85</v>
      </c>
      <c r="B69" s="35">
        <v>181205847</v>
      </c>
      <c r="C69" s="36" t="s">
        <v>151</v>
      </c>
      <c r="D69" s="35" t="s">
        <v>26</v>
      </c>
      <c r="E69" s="18" t="s">
        <v>92</v>
      </c>
      <c r="F69" s="18">
        <v>16</v>
      </c>
      <c r="G69" s="28">
        <v>400</v>
      </c>
      <c r="H69" s="35">
        <f xml:space="preserve"> SUMIFS(Tabla2[CANTIDAD CARGADAS],Tabla2[CODIGO],Tabla2[[#This Row],[CODIGO]]) - SUMIFS(TABLA_CIERRES[CANTIDAD],TABLA_CIERRES[Codigo],Tabla2[[#This Row],[CODIGO]])</f>
        <v>15</v>
      </c>
      <c r="I69" s="37">
        <v>1000</v>
      </c>
      <c r="J69" s="38">
        <f>Tabla2[[#This Row],[CANTIDAD CARGADAS]]*Tabla2[[#This Row],[COSTOS]]</f>
        <v>6400</v>
      </c>
    </row>
    <row r="70" spans="1:10" x14ac:dyDescent="0.25">
      <c r="A70" s="34">
        <v>86</v>
      </c>
      <c r="B70" s="35">
        <v>149780315</v>
      </c>
      <c r="C70" s="36" t="s">
        <v>78</v>
      </c>
      <c r="D70" s="35" t="s">
        <v>26</v>
      </c>
      <c r="E70" s="18" t="s">
        <v>93</v>
      </c>
      <c r="F70" s="18">
        <v>4</v>
      </c>
      <c r="G70" s="28">
        <v>200</v>
      </c>
      <c r="H70" s="35">
        <f xml:space="preserve"> SUMIFS(Tabla2[CANTIDAD CARGADAS],Tabla2[CODIGO],Tabla2[[#This Row],[CODIGO]]) - SUMIFS(TABLA_CIERRES[CANTIDAD],TABLA_CIERRES[Codigo],Tabla2[[#This Row],[CODIGO]])</f>
        <v>4</v>
      </c>
      <c r="I70" s="37">
        <v>600</v>
      </c>
      <c r="J70" s="38">
        <f>Tabla2[[#This Row],[CANTIDAD CARGADAS]]*Tabla2[[#This Row],[COSTOS]]</f>
        <v>800</v>
      </c>
    </row>
    <row r="71" spans="1:10" x14ac:dyDescent="0.25">
      <c r="A71" s="34">
        <v>87</v>
      </c>
      <c r="B71" s="35">
        <v>15287985</v>
      </c>
      <c r="C71" s="36" t="s">
        <v>78</v>
      </c>
      <c r="D71" s="35" t="s">
        <v>26</v>
      </c>
      <c r="E71" s="18" t="s">
        <v>94</v>
      </c>
      <c r="F71" s="18">
        <v>7</v>
      </c>
      <c r="G71" s="28">
        <v>400</v>
      </c>
      <c r="H71" s="35">
        <f xml:space="preserve"> SUMIFS(Tabla2[CANTIDAD CARGADAS],Tabla2[CODIGO],Tabla2[[#This Row],[CODIGO]]) - SUMIFS(TABLA_CIERRES[CANTIDAD],TABLA_CIERRES[Codigo],Tabla2[[#This Row],[CODIGO]])</f>
        <v>7</v>
      </c>
      <c r="I71" s="37">
        <v>1000</v>
      </c>
      <c r="J71" s="38">
        <f>Tabla2[[#This Row],[CANTIDAD CARGADAS]]*Tabla2[[#This Row],[COSTOS]]</f>
        <v>2800</v>
      </c>
    </row>
    <row r="72" spans="1:10" x14ac:dyDescent="0.25">
      <c r="A72" s="34">
        <v>88</v>
      </c>
      <c r="B72" s="35">
        <v>548275537</v>
      </c>
      <c r="C72" s="36" t="s">
        <v>78</v>
      </c>
      <c r="D72" s="35" t="s">
        <v>26</v>
      </c>
      <c r="E72" s="18" t="s">
        <v>95</v>
      </c>
      <c r="F72" s="18">
        <v>7</v>
      </c>
      <c r="G72" s="28">
        <v>200</v>
      </c>
      <c r="H72" s="35">
        <f xml:space="preserve"> SUMIFS(Tabla2[CANTIDAD CARGADAS],Tabla2[CODIGO],Tabla2[[#This Row],[CODIGO]]) - SUMIFS(TABLA_CIERRES[CANTIDAD],TABLA_CIERRES[Codigo],Tabla2[[#This Row],[CODIGO]])</f>
        <v>7</v>
      </c>
      <c r="I72" s="37">
        <v>600</v>
      </c>
      <c r="J72" s="38">
        <f>Tabla2[[#This Row],[CANTIDAD CARGADAS]]*Tabla2[[#This Row],[COSTOS]]</f>
        <v>1400</v>
      </c>
    </row>
    <row r="73" spans="1:10" x14ac:dyDescent="0.25">
      <c r="A73" s="34">
        <v>89</v>
      </c>
      <c r="B73" s="35">
        <v>883048802</v>
      </c>
      <c r="C73" s="36" t="s">
        <v>96</v>
      </c>
      <c r="D73" s="35" t="s">
        <v>26</v>
      </c>
      <c r="E73" s="18" t="s">
        <v>97</v>
      </c>
      <c r="F73" s="18">
        <v>29</v>
      </c>
      <c r="G73" s="28">
        <v>400</v>
      </c>
      <c r="H73" s="35">
        <f xml:space="preserve"> SUMIFS(Tabla2[CANTIDAD CARGADAS],Tabla2[CODIGO],Tabla2[[#This Row],[CODIGO]]) - SUMIFS(TABLA_CIERRES[CANTIDAD],TABLA_CIERRES[Codigo],Tabla2[[#This Row],[CODIGO]])</f>
        <v>29</v>
      </c>
      <c r="I73" s="37">
        <v>1000</v>
      </c>
      <c r="J73" s="38">
        <f>Tabla2[[#This Row],[CANTIDAD CARGADAS]]*Tabla2[[#This Row],[COSTOS]]</f>
        <v>11600</v>
      </c>
    </row>
    <row r="74" spans="1:10" x14ac:dyDescent="0.25">
      <c r="A74" s="34">
        <v>90</v>
      </c>
      <c r="B74" s="35">
        <v>844118947</v>
      </c>
      <c r="C74" s="36" t="s">
        <v>96</v>
      </c>
      <c r="D74" s="35" t="s">
        <v>26</v>
      </c>
      <c r="E74" s="18" t="s">
        <v>98</v>
      </c>
      <c r="F74" s="18">
        <v>24</v>
      </c>
      <c r="G74" s="28">
        <v>600</v>
      </c>
      <c r="H74" s="35">
        <f xml:space="preserve"> SUMIFS(Tabla2[CANTIDAD CARGADAS],Tabla2[CODIGO],Tabla2[[#This Row],[CODIGO]]) - SUMIFS(TABLA_CIERRES[CANTIDAD],TABLA_CIERRES[Codigo],Tabla2[[#This Row],[CODIGO]])</f>
        <v>24</v>
      </c>
      <c r="I74" s="37">
        <v>1000</v>
      </c>
      <c r="J74" s="38">
        <f>Tabla2[[#This Row],[CANTIDAD CARGADAS]]*Tabla2[[#This Row],[COSTOS]]</f>
        <v>14400</v>
      </c>
    </row>
    <row r="75" spans="1:10" x14ac:dyDescent="0.25">
      <c r="A75" s="34">
        <v>91</v>
      </c>
      <c r="B75" s="35">
        <v>716264735</v>
      </c>
      <c r="C75" s="36" t="s">
        <v>151</v>
      </c>
      <c r="D75" s="35" t="s">
        <v>26</v>
      </c>
      <c r="E75" s="18" t="s">
        <v>99</v>
      </c>
      <c r="F75" s="18">
        <v>18</v>
      </c>
      <c r="G75" s="28">
        <v>600</v>
      </c>
      <c r="H75" s="35">
        <f xml:space="preserve"> SUMIFS(Tabla2[CANTIDAD CARGADAS],Tabla2[CODIGO],Tabla2[[#This Row],[CODIGO]]) - SUMIFS(TABLA_CIERRES[CANTIDAD],TABLA_CIERRES[Codigo],Tabla2[[#This Row],[CODIGO]])</f>
        <v>18</v>
      </c>
      <c r="I75" s="37">
        <v>1000</v>
      </c>
      <c r="J75" s="38">
        <f>Tabla2[[#This Row],[CANTIDAD CARGADAS]]*Tabla2[[#This Row],[COSTOS]]</f>
        <v>10800</v>
      </c>
    </row>
    <row r="76" spans="1:10" x14ac:dyDescent="0.25">
      <c r="A76" s="34">
        <v>92</v>
      </c>
      <c r="B76" s="35">
        <v>866519317</v>
      </c>
      <c r="C76" s="36" t="s">
        <v>96</v>
      </c>
      <c r="D76" s="35" t="s">
        <v>26</v>
      </c>
      <c r="E76" s="18" t="s">
        <v>100</v>
      </c>
      <c r="F76" s="18">
        <v>13</v>
      </c>
      <c r="G76" s="28">
        <v>600</v>
      </c>
      <c r="H76" s="35">
        <f xml:space="preserve"> SUMIFS(Tabla2[CANTIDAD CARGADAS],Tabla2[CODIGO],Tabla2[[#This Row],[CODIGO]]) - SUMIFS(TABLA_CIERRES[CANTIDAD],TABLA_CIERRES[Codigo],Tabla2[[#This Row],[CODIGO]])</f>
        <v>13</v>
      </c>
      <c r="I76" s="37">
        <v>1000</v>
      </c>
      <c r="J76" s="38">
        <f>Tabla2[[#This Row],[CANTIDAD CARGADAS]]*Tabla2[[#This Row],[COSTOS]]</f>
        <v>7800</v>
      </c>
    </row>
    <row r="77" spans="1:10" x14ac:dyDescent="0.25">
      <c r="A77" s="34">
        <v>93</v>
      </c>
      <c r="B77" s="35">
        <v>716264736</v>
      </c>
      <c r="C77" s="36" t="s">
        <v>96</v>
      </c>
      <c r="D77" s="35" t="s">
        <v>26</v>
      </c>
      <c r="E77" s="18" t="s">
        <v>101</v>
      </c>
      <c r="F77" s="18">
        <v>3</v>
      </c>
      <c r="G77" s="28">
        <v>200</v>
      </c>
      <c r="H77" s="35">
        <f xml:space="preserve"> SUMIFS(Tabla2[CANTIDAD CARGADAS],Tabla2[CODIGO],Tabla2[[#This Row],[CODIGO]]) - SUMIFS(TABLA_CIERRES[CANTIDAD],TABLA_CIERRES[Codigo],Tabla2[[#This Row],[CODIGO]])</f>
        <v>3</v>
      </c>
      <c r="I77" s="37">
        <v>600</v>
      </c>
      <c r="J77" s="38">
        <f>Tabla2[[#This Row],[CANTIDAD CARGADAS]]*Tabla2[[#This Row],[COSTOS]]</f>
        <v>600</v>
      </c>
    </row>
    <row r="78" spans="1:10" x14ac:dyDescent="0.25">
      <c r="A78" s="34">
        <v>94</v>
      </c>
      <c r="B78" s="35">
        <v>866519318</v>
      </c>
      <c r="C78" s="36" t="s">
        <v>96</v>
      </c>
      <c r="D78" s="35" t="s">
        <v>26</v>
      </c>
      <c r="E78" s="18" t="s">
        <v>102</v>
      </c>
      <c r="F78" s="18">
        <v>2</v>
      </c>
      <c r="G78" s="28">
        <v>600</v>
      </c>
      <c r="H78" s="35">
        <f xml:space="preserve"> SUMIFS(Tabla2[CANTIDAD CARGADAS],Tabla2[CODIGO],Tabla2[[#This Row],[CODIGO]]) - SUMIFS(TABLA_CIERRES[CANTIDAD],TABLA_CIERRES[Codigo],Tabla2[[#This Row],[CODIGO]])</f>
        <v>2</v>
      </c>
      <c r="I78" s="37">
        <v>1400</v>
      </c>
      <c r="J78" s="38">
        <f>Tabla2[[#This Row],[CANTIDAD CARGADAS]]*Tabla2[[#This Row],[COSTOS]]</f>
        <v>1200</v>
      </c>
    </row>
    <row r="79" spans="1:10" x14ac:dyDescent="0.25">
      <c r="A79" s="34">
        <v>95</v>
      </c>
      <c r="B79" s="35">
        <v>883048803</v>
      </c>
      <c r="C79" s="36" t="s">
        <v>96</v>
      </c>
      <c r="D79" s="35" t="s">
        <v>26</v>
      </c>
      <c r="E79" s="18" t="s">
        <v>103</v>
      </c>
      <c r="F79" s="18">
        <v>1</v>
      </c>
      <c r="G79" s="28">
        <v>400</v>
      </c>
      <c r="H79" s="35">
        <f xml:space="preserve"> SUMIFS(Tabla2[CANTIDAD CARGADAS],Tabla2[CODIGO],Tabla2[[#This Row],[CODIGO]]) - SUMIFS(TABLA_CIERRES[CANTIDAD],TABLA_CIERRES[Codigo],Tabla2[[#This Row],[CODIGO]])</f>
        <v>1</v>
      </c>
      <c r="I79" s="37">
        <v>600</v>
      </c>
      <c r="J79" s="38">
        <f>Tabla2[[#This Row],[CANTIDAD CARGADAS]]*Tabla2[[#This Row],[COSTOS]]</f>
        <v>400</v>
      </c>
    </row>
    <row r="80" spans="1:10" x14ac:dyDescent="0.25">
      <c r="A80" s="34">
        <v>96</v>
      </c>
      <c r="B80" s="35">
        <v>12616492</v>
      </c>
      <c r="C80" s="36" t="s">
        <v>96</v>
      </c>
      <c r="D80" s="35" t="s">
        <v>26</v>
      </c>
      <c r="E80" s="18" t="s">
        <v>104</v>
      </c>
      <c r="F80" s="18">
        <v>12</v>
      </c>
      <c r="G80" s="28">
        <v>400</v>
      </c>
      <c r="H80" s="35">
        <f xml:space="preserve"> SUMIFS(Tabla2[CANTIDAD CARGADAS],Tabla2[CODIGO],Tabla2[[#This Row],[CODIGO]]) - SUMIFS(TABLA_CIERRES[CANTIDAD],TABLA_CIERRES[Codigo],Tabla2[[#This Row],[CODIGO]])</f>
        <v>12</v>
      </c>
      <c r="I80" s="37">
        <v>1000</v>
      </c>
      <c r="J80" s="38">
        <f>Tabla2[[#This Row],[CANTIDAD CARGADAS]]*Tabla2[[#This Row],[COSTOS]]</f>
        <v>4800</v>
      </c>
    </row>
    <row r="81" spans="1:10" x14ac:dyDescent="0.25">
      <c r="A81" s="34">
        <v>97</v>
      </c>
      <c r="B81" s="35">
        <v>369110404</v>
      </c>
      <c r="C81" s="36" t="s">
        <v>96</v>
      </c>
      <c r="D81" s="35" t="s">
        <v>26</v>
      </c>
      <c r="E81" s="18" t="s">
        <v>105</v>
      </c>
      <c r="F81" s="18">
        <v>19</v>
      </c>
      <c r="G81" s="28">
        <v>400</v>
      </c>
      <c r="H81" s="35">
        <f xml:space="preserve"> SUMIFS(Tabla2[CANTIDAD CARGADAS],Tabla2[CODIGO],Tabla2[[#This Row],[CODIGO]]) - SUMIFS(TABLA_CIERRES[CANTIDAD],TABLA_CIERRES[Codigo],Tabla2[[#This Row],[CODIGO]])</f>
        <v>19</v>
      </c>
      <c r="I81" s="37">
        <v>1000</v>
      </c>
      <c r="J81" s="38">
        <f>Tabla2[[#This Row],[CANTIDAD CARGADAS]]*Tabla2[[#This Row],[COSTOS]]</f>
        <v>7600</v>
      </c>
    </row>
    <row r="82" spans="1:10" x14ac:dyDescent="0.25">
      <c r="A82" s="34">
        <v>98</v>
      </c>
      <c r="B82" s="35">
        <v>115722623</v>
      </c>
      <c r="C82" s="36">
        <v>44987</v>
      </c>
      <c r="D82" s="35" t="s">
        <v>26</v>
      </c>
      <c r="E82" s="18" t="s">
        <v>106</v>
      </c>
      <c r="F82" s="18">
        <v>4</v>
      </c>
      <c r="G82" s="28">
        <v>600</v>
      </c>
      <c r="H82" s="35">
        <f xml:space="preserve"> SUMIFS(Tabla2[CANTIDAD CARGADAS],Tabla2[CODIGO],Tabla2[[#This Row],[CODIGO]]) - SUMIFS(TABLA_CIERRES[CANTIDAD],TABLA_CIERRES[Codigo],Tabla2[[#This Row],[CODIGO]])</f>
        <v>4</v>
      </c>
      <c r="I82" s="37">
        <v>1400</v>
      </c>
      <c r="J82" s="38">
        <f>Tabla2[[#This Row],[CANTIDAD CARGADAS]]*Tabla2[[#This Row],[COSTOS]]</f>
        <v>2400</v>
      </c>
    </row>
    <row r="83" spans="1:10" x14ac:dyDescent="0.25">
      <c r="A83" s="34">
        <v>99</v>
      </c>
      <c r="B83" s="35">
        <v>844118948</v>
      </c>
      <c r="C83" s="36" t="s">
        <v>96</v>
      </c>
      <c r="D83" s="35" t="s">
        <v>26</v>
      </c>
      <c r="E83" s="18" t="s">
        <v>107</v>
      </c>
      <c r="F83" s="18">
        <v>20</v>
      </c>
      <c r="G83" s="28">
        <v>600</v>
      </c>
      <c r="H83" s="35">
        <f xml:space="preserve"> SUMIFS(Tabla2[CANTIDAD CARGADAS],Tabla2[CODIGO],Tabla2[[#This Row],[CODIGO]]) - SUMIFS(TABLA_CIERRES[CANTIDAD],TABLA_CIERRES[Codigo],Tabla2[[#This Row],[CODIGO]])</f>
        <v>20</v>
      </c>
      <c r="I83" s="37">
        <v>1000</v>
      </c>
      <c r="J83" s="38">
        <f>Tabla2[[#This Row],[CANTIDAD CARGADAS]]*Tabla2[[#This Row],[COSTOS]]</f>
        <v>12000</v>
      </c>
    </row>
    <row r="84" spans="1:10" x14ac:dyDescent="0.25">
      <c r="A84" s="34">
        <v>100</v>
      </c>
      <c r="B84" s="35">
        <v>369110403</v>
      </c>
      <c r="C84" s="36" t="s">
        <v>96</v>
      </c>
      <c r="D84" s="35" t="s">
        <v>26</v>
      </c>
      <c r="E84" s="18" t="s">
        <v>108</v>
      </c>
      <c r="F84" s="18">
        <v>1</v>
      </c>
      <c r="G84" s="28">
        <v>200</v>
      </c>
      <c r="H84" s="35">
        <f xml:space="preserve"> SUMIFS(Tabla2[CANTIDAD CARGADAS],Tabla2[CODIGO],Tabla2[[#This Row],[CODIGO]]) - SUMIFS(TABLA_CIERRES[CANTIDAD],TABLA_CIERRES[Codigo],Tabla2[[#This Row],[CODIGO]])</f>
        <v>1</v>
      </c>
      <c r="I84" s="37">
        <v>600</v>
      </c>
      <c r="J84" s="38">
        <f>Tabla2[[#This Row],[CANTIDAD CARGADAS]]*Tabla2[[#This Row],[COSTOS]]</f>
        <v>200</v>
      </c>
    </row>
    <row r="85" spans="1:10" x14ac:dyDescent="0.25">
      <c r="A85" s="34">
        <v>101</v>
      </c>
      <c r="B85" s="35">
        <v>470062334</v>
      </c>
      <c r="C85" s="36">
        <v>44987</v>
      </c>
      <c r="D85" s="35" t="s">
        <v>26</v>
      </c>
      <c r="E85" s="18" t="s">
        <v>109</v>
      </c>
      <c r="F85" s="18">
        <v>12</v>
      </c>
      <c r="G85" s="28">
        <v>400</v>
      </c>
      <c r="H85" s="35">
        <f xml:space="preserve"> SUMIFS(Tabla2[CANTIDAD CARGADAS],Tabla2[CODIGO],Tabla2[[#This Row],[CODIGO]]) - SUMIFS(TABLA_CIERRES[CANTIDAD],TABLA_CIERRES[Codigo],Tabla2[[#This Row],[CODIGO]])</f>
        <v>12</v>
      </c>
      <c r="I85" s="37">
        <v>1000</v>
      </c>
      <c r="J85" s="38">
        <f>Tabla2[[#This Row],[CANTIDAD CARGADAS]]*Tabla2[[#This Row],[COSTOS]]</f>
        <v>4800</v>
      </c>
    </row>
    <row r="86" spans="1:10" x14ac:dyDescent="0.25">
      <c r="A86" s="34">
        <v>102</v>
      </c>
      <c r="B86" s="35">
        <v>219541903</v>
      </c>
      <c r="C86" s="36" t="s">
        <v>96</v>
      </c>
      <c r="D86" s="35" t="s">
        <v>26</v>
      </c>
      <c r="E86" s="18" t="s">
        <v>110</v>
      </c>
      <c r="F86" s="18">
        <v>1</v>
      </c>
      <c r="G86" s="28">
        <v>200</v>
      </c>
      <c r="H86" s="35">
        <f xml:space="preserve"> SUMIFS(Tabla2[CANTIDAD CARGADAS],Tabla2[CODIGO],Tabla2[[#This Row],[CODIGO]]) - SUMIFS(TABLA_CIERRES[CANTIDAD],TABLA_CIERRES[Codigo],Tabla2[[#This Row],[CODIGO]])</f>
        <v>1</v>
      </c>
      <c r="I86" s="37">
        <v>600</v>
      </c>
      <c r="J86" s="38">
        <f>Tabla2[[#This Row],[CANTIDAD CARGADAS]]*Tabla2[[#This Row],[COSTOS]]</f>
        <v>200</v>
      </c>
    </row>
    <row r="87" spans="1:10" x14ac:dyDescent="0.25">
      <c r="A87" s="34">
        <v>104</v>
      </c>
      <c r="B87" s="35">
        <v>495057929</v>
      </c>
      <c r="C87" s="36" t="s">
        <v>96</v>
      </c>
      <c r="D87" s="35" t="s">
        <v>26</v>
      </c>
      <c r="E87" s="18" t="s">
        <v>111</v>
      </c>
      <c r="F87" s="18">
        <v>3</v>
      </c>
      <c r="G87" s="28">
        <v>600</v>
      </c>
      <c r="H87" s="35">
        <f xml:space="preserve"> SUMIFS(Tabla2[CANTIDAD CARGADAS],Tabla2[CODIGO],Tabla2[[#This Row],[CODIGO]]) - SUMIFS(TABLA_CIERRES[CANTIDAD],TABLA_CIERRES[Codigo],Tabla2[[#This Row],[CODIGO]])</f>
        <v>3</v>
      </c>
      <c r="I87" s="37">
        <v>1400</v>
      </c>
      <c r="J87" s="38">
        <f>Tabla2[[#This Row],[CANTIDAD CARGADAS]]*Tabla2[[#This Row],[COSTOS]]</f>
        <v>1800</v>
      </c>
    </row>
    <row r="88" spans="1:10" x14ac:dyDescent="0.25">
      <c r="A88" s="34">
        <v>105</v>
      </c>
      <c r="B88" s="35">
        <v>174554946</v>
      </c>
      <c r="C88" s="36" t="s">
        <v>96</v>
      </c>
      <c r="D88" s="35" t="s">
        <v>26</v>
      </c>
      <c r="E88" s="18" t="s">
        <v>112</v>
      </c>
      <c r="F88" s="18">
        <v>10</v>
      </c>
      <c r="G88" s="28">
        <v>400</v>
      </c>
      <c r="H88" s="35">
        <f xml:space="preserve"> SUMIFS(Tabla2[CANTIDAD CARGADAS],Tabla2[CODIGO],Tabla2[[#This Row],[CODIGO]]) - SUMIFS(TABLA_CIERRES[CANTIDAD],TABLA_CIERRES[Codigo],Tabla2[[#This Row],[CODIGO]])</f>
        <v>10</v>
      </c>
      <c r="I88" s="37">
        <v>1000</v>
      </c>
      <c r="J88" s="38">
        <f>Tabla2[[#This Row],[CANTIDAD CARGADAS]]*Tabla2[[#This Row],[COSTOS]]</f>
        <v>4000</v>
      </c>
    </row>
    <row r="89" spans="1:10" x14ac:dyDescent="0.25">
      <c r="A89" s="34">
        <v>106</v>
      </c>
      <c r="B89" s="35">
        <v>389489993</v>
      </c>
      <c r="C89" s="36" t="s">
        <v>96</v>
      </c>
      <c r="D89" s="35" t="s">
        <v>26</v>
      </c>
      <c r="E89" s="18" t="s">
        <v>113</v>
      </c>
      <c r="F89" s="18">
        <v>26</v>
      </c>
      <c r="G89" s="28">
        <v>400</v>
      </c>
      <c r="H89" s="35">
        <f xml:space="preserve"> SUMIFS(Tabla2[CANTIDAD CARGADAS],Tabla2[CODIGO],Tabla2[[#This Row],[CODIGO]]) - SUMIFS(TABLA_CIERRES[CANTIDAD],TABLA_CIERRES[Codigo],Tabla2[[#This Row],[CODIGO]])</f>
        <v>25</v>
      </c>
      <c r="I89" s="37">
        <v>1000</v>
      </c>
      <c r="J89" s="38">
        <f>Tabla2[[#This Row],[CANTIDAD CARGADAS]]*Tabla2[[#This Row],[COSTOS]]</f>
        <v>10400</v>
      </c>
    </row>
    <row r="90" spans="1:10" x14ac:dyDescent="0.25">
      <c r="A90" s="34">
        <v>107</v>
      </c>
      <c r="B90" s="35">
        <v>251880631</v>
      </c>
      <c r="C90" s="36" t="s">
        <v>96</v>
      </c>
      <c r="D90" s="35" t="s">
        <v>26</v>
      </c>
      <c r="E90" s="18" t="s">
        <v>114</v>
      </c>
      <c r="F90" s="18">
        <v>1</v>
      </c>
      <c r="G90" s="28">
        <v>200</v>
      </c>
      <c r="H90" s="35">
        <f xml:space="preserve"> SUMIFS(Tabla2[CANTIDAD CARGADAS],Tabla2[CODIGO],Tabla2[[#This Row],[CODIGO]]) - SUMIFS(TABLA_CIERRES[CANTIDAD],TABLA_CIERRES[Codigo],Tabla2[[#This Row],[CODIGO]])</f>
        <v>1</v>
      </c>
      <c r="I90" s="37">
        <v>600</v>
      </c>
      <c r="J90" s="38">
        <f>Tabla2[[#This Row],[CANTIDAD CARGADAS]]*Tabla2[[#This Row],[COSTOS]]</f>
        <v>200</v>
      </c>
    </row>
    <row r="91" spans="1:10" x14ac:dyDescent="0.25">
      <c r="A91" s="34">
        <v>108</v>
      </c>
      <c r="B91" s="35">
        <v>49000091</v>
      </c>
      <c r="C91" s="36" t="s">
        <v>96</v>
      </c>
      <c r="D91" s="35" t="s">
        <v>26</v>
      </c>
      <c r="E91" s="18" t="s">
        <v>115</v>
      </c>
      <c r="F91" s="18">
        <v>21</v>
      </c>
      <c r="G91" s="28">
        <v>400</v>
      </c>
      <c r="H91" s="35">
        <f xml:space="preserve"> SUMIFS(Tabla2[CANTIDAD CARGADAS],Tabla2[CODIGO],Tabla2[[#This Row],[CODIGO]]) - SUMIFS(TABLA_CIERRES[CANTIDAD],TABLA_CIERRES[Codigo],Tabla2[[#This Row],[CODIGO]])</f>
        <v>21</v>
      </c>
      <c r="I91" s="37">
        <v>1000</v>
      </c>
      <c r="J91" s="38">
        <f>Tabla2[[#This Row],[CANTIDAD CARGADAS]]*Tabla2[[#This Row],[COSTOS]]</f>
        <v>8400</v>
      </c>
    </row>
    <row r="92" spans="1:10" x14ac:dyDescent="0.25">
      <c r="A92" s="34">
        <v>109</v>
      </c>
      <c r="B92" s="35">
        <v>255526789</v>
      </c>
      <c r="C92" s="36" t="s">
        <v>96</v>
      </c>
      <c r="D92" s="35" t="s">
        <v>26</v>
      </c>
      <c r="E92" s="18" t="s">
        <v>116</v>
      </c>
      <c r="F92" s="18">
        <v>10</v>
      </c>
      <c r="G92" s="28">
        <v>400</v>
      </c>
      <c r="H92" s="35">
        <f xml:space="preserve"> SUMIFS(Tabla2[CANTIDAD CARGADAS],Tabla2[CODIGO],Tabla2[[#This Row],[CODIGO]]) - SUMIFS(TABLA_CIERRES[CANTIDAD],TABLA_CIERRES[Codigo],Tabla2[[#This Row],[CODIGO]])</f>
        <v>10</v>
      </c>
      <c r="I92" s="37">
        <v>1000</v>
      </c>
      <c r="J92" s="38">
        <f>Tabla2[[#This Row],[CANTIDAD CARGADAS]]*Tabla2[[#This Row],[COSTOS]]</f>
        <v>4000</v>
      </c>
    </row>
    <row r="93" spans="1:10" x14ac:dyDescent="0.25">
      <c r="A93" s="34">
        <v>110</v>
      </c>
      <c r="B93" s="35">
        <v>308662961</v>
      </c>
      <c r="C93" s="36" t="s">
        <v>96</v>
      </c>
      <c r="D93" s="35" t="s">
        <v>26</v>
      </c>
      <c r="E93" s="18" t="s">
        <v>117</v>
      </c>
      <c r="F93" s="18">
        <v>10</v>
      </c>
      <c r="G93" s="28">
        <v>400</v>
      </c>
      <c r="H93" s="35">
        <f xml:space="preserve"> SUMIFS(Tabla2[CANTIDAD CARGADAS],Tabla2[CODIGO],Tabla2[[#This Row],[CODIGO]]) - SUMIFS(TABLA_CIERRES[CANTIDAD],TABLA_CIERRES[Codigo],Tabla2[[#This Row],[CODIGO]])</f>
        <v>10</v>
      </c>
      <c r="I93" s="37">
        <v>1000</v>
      </c>
      <c r="J93" s="38">
        <f>Tabla2[[#This Row],[CANTIDAD CARGADAS]]*Tabla2[[#This Row],[COSTOS]]</f>
        <v>4000</v>
      </c>
    </row>
    <row r="94" spans="1:10" x14ac:dyDescent="0.25">
      <c r="A94" s="34">
        <v>111</v>
      </c>
      <c r="B94" s="35">
        <v>896426106</v>
      </c>
      <c r="C94" s="36" t="s">
        <v>96</v>
      </c>
      <c r="D94" s="35" t="s">
        <v>26</v>
      </c>
      <c r="E94" s="18" t="s">
        <v>118</v>
      </c>
      <c r="F94" s="18">
        <v>1</v>
      </c>
      <c r="G94" s="28">
        <v>600</v>
      </c>
      <c r="H94" s="35">
        <f xml:space="preserve"> SUMIFS(Tabla2[CANTIDAD CARGADAS],Tabla2[CODIGO],Tabla2[[#This Row],[CODIGO]]) - SUMIFS(TABLA_CIERRES[CANTIDAD],TABLA_CIERRES[Codigo],Tabla2[[#This Row],[CODIGO]])</f>
        <v>1</v>
      </c>
      <c r="I94" s="37">
        <v>1400</v>
      </c>
      <c r="J94" s="38">
        <f>Tabla2[[#This Row],[CANTIDAD CARGADAS]]*Tabla2[[#This Row],[COSTOS]]</f>
        <v>600</v>
      </c>
    </row>
    <row r="95" spans="1:10" x14ac:dyDescent="0.25">
      <c r="A95" s="34">
        <v>112</v>
      </c>
      <c r="B95" s="35">
        <v>470062335</v>
      </c>
      <c r="C95" s="36" t="s">
        <v>96</v>
      </c>
      <c r="D95" s="35" t="s">
        <v>26</v>
      </c>
      <c r="E95" s="18" t="s">
        <v>119</v>
      </c>
      <c r="F95" s="18">
        <v>18</v>
      </c>
      <c r="G95" s="28">
        <v>400</v>
      </c>
      <c r="H95" s="35">
        <f xml:space="preserve"> SUMIFS(Tabla2[CANTIDAD CARGADAS],Tabla2[CODIGO],Tabla2[[#This Row],[CODIGO]]) - SUMIFS(TABLA_CIERRES[CANTIDAD],TABLA_CIERRES[Codigo],Tabla2[[#This Row],[CODIGO]])</f>
        <v>18</v>
      </c>
      <c r="I95" s="37">
        <v>1000</v>
      </c>
      <c r="J95" s="38">
        <f>Tabla2[[#This Row],[CANTIDAD CARGADAS]]*Tabla2[[#This Row],[COSTOS]]</f>
        <v>7200</v>
      </c>
    </row>
    <row r="96" spans="1:10" x14ac:dyDescent="0.25">
      <c r="A96" s="34">
        <v>113</v>
      </c>
      <c r="B96" s="35">
        <v>111240964</v>
      </c>
      <c r="C96" s="36" t="s">
        <v>96</v>
      </c>
      <c r="D96" s="35" t="s">
        <v>26</v>
      </c>
      <c r="E96" s="18" t="s">
        <v>120</v>
      </c>
      <c r="F96" s="18">
        <v>2</v>
      </c>
      <c r="G96" s="28">
        <v>200</v>
      </c>
      <c r="H96" s="35">
        <f xml:space="preserve"> SUMIFS(Tabla2[CANTIDAD CARGADAS],Tabla2[CODIGO],Tabla2[[#This Row],[CODIGO]]) - SUMIFS(TABLA_CIERRES[CANTIDAD],TABLA_CIERRES[Codigo],Tabla2[[#This Row],[CODIGO]])</f>
        <v>2</v>
      </c>
      <c r="I96" s="37">
        <v>600</v>
      </c>
      <c r="J96" s="38">
        <f>Tabla2[[#This Row],[CANTIDAD CARGADAS]]*Tabla2[[#This Row],[COSTOS]]</f>
        <v>400</v>
      </c>
    </row>
    <row r="97" spans="1:10" x14ac:dyDescent="0.25">
      <c r="A97" s="34">
        <v>114</v>
      </c>
      <c r="B97" s="35">
        <v>159464563</v>
      </c>
      <c r="C97" s="36" t="s">
        <v>96</v>
      </c>
      <c r="D97" s="35" t="s">
        <v>26</v>
      </c>
      <c r="E97" s="18" t="s">
        <v>122</v>
      </c>
      <c r="F97" s="18">
        <v>5</v>
      </c>
      <c r="G97" s="28">
        <v>600</v>
      </c>
      <c r="H97" s="35">
        <f xml:space="preserve"> SUMIFS(Tabla2[CANTIDAD CARGADAS],Tabla2[CODIGO],Tabla2[[#This Row],[CODIGO]]) - SUMIFS(TABLA_CIERRES[CANTIDAD],TABLA_CIERRES[Codigo],Tabla2[[#This Row],[CODIGO]])</f>
        <v>5</v>
      </c>
      <c r="I97" s="37">
        <v>1400</v>
      </c>
      <c r="J97" s="38">
        <f>Tabla2[[#This Row],[CANTIDAD CARGADAS]]*Tabla2[[#This Row],[COSTOS]]</f>
        <v>3000</v>
      </c>
    </row>
    <row r="98" spans="1:10" x14ac:dyDescent="0.25">
      <c r="A98" s="34">
        <v>115</v>
      </c>
      <c r="B98" s="35">
        <v>198420949</v>
      </c>
      <c r="C98" s="36" t="s">
        <v>96</v>
      </c>
      <c r="D98" s="35" t="s">
        <v>26</v>
      </c>
      <c r="E98" s="18" t="s">
        <v>121</v>
      </c>
      <c r="F98" s="18">
        <v>1</v>
      </c>
      <c r="G98" s="28">
        <v>400</v>
      </c>
      <c r="H98" s="35">
        <f xml:space="preserve"> SUMIFS(Tabla2[CANTIDAD CARGADAS],Tabla2[CODIGO],Tabla2[[#This Row],[CODIGO]]) - SUMIFS(TABLA_CIERRES[CANTIDAD],TABLA_CIERRES[Codigo],Tabla2[[#This Row],[CODIGO]])</f>
        <v>1</v>
      </c>
      <c r="I98" s="37">
        <v>1000</v>
      </c>
      <c r="J98" s="38">
        <f>Tabla2[[#This Row],[CANTIDAD CARGADAS]]*Tabla2[[#This Row],[COSTOS]]</f>
        <v>400</v>
      </c>
    </row>
    <row r="99" spans="1:10" x14ac:dyDescent="0.25">
      <c r="A99" s="34">
        <v>116</v>
      </c>
      <c r="B99" s="35">
        <v>944823340</v>
      </c>
      <c r="C99" s="36" t="s">
        <v>96</v>
      </c>
      <c r="D99" s="35" t="s">
        <v>26</v>
      </c>
      <c r="E99" s="18" t="s">
        <v>123</v>
      </c>
      <c r="F99" s="18">
        <v>6</v>
      </c>
      <c r="G99" s="28">
        <v>200</v>
      </c>
      <c r="H99" s="35">
        <f xml:space="preserve"> SUMIFS(Tabla2[CANTIDAD CARGADAS],Tabla2[CODIGO],Tabla2[[#This Row],[CODIGO]]) - SUMIFS(TABLA_CIERRES[CANTIDAD],TABLA_CIERRES[Codigo],Tabla2[[#This Row],[CODIGO]])</f>
        <v>6</v>
      </c>
      <c r="I99" s="37">
        <v>600</v>
      </c>
      <c r="J99" s="38">
        <f>Tabla2[[#This Row],[CANTIDAD CARGADAS]]*Tabla2[[#This Row],[COSTOS]]</f>
        <v>1200</v>
      </c>
    </row>
    <row r="100" spans="1:10" x14ac:dyDescent="0.25">
      <c r="A100" s="34">
        <v>117</v>
      </c>
      <c r="B100" s="35">
        <v>131739341</v>
      </c>
      <c r="C100" s="36" t="s">
        <v>96</v>
      </c>
      <c r="D100" s="35" t="s">
        <v>26</v>
      </c>
      <c r="E100" s="18" t="s">
        <v>126</v>
      </c>
      <c r="F100" s="18">
        <v>2</v>
      </c>
      <c r="G100" s="28">
        <v>600</v>
      </c>
      <c r="H100" s="35">
        <f xml:space="preserve"> SUMIFS(Tabla2[CANTIDAD CARGADAS],Tabla2[CODIGO],Tabla2[[#This Row],[CODIGO]]) - SUMIFS(TABLA_CIERRES[CANTIDAD],TABLA_CIERRES[Codigo],Tabla2[[#This Row],[CODIGO]])</f>
        <v>2</v>
      </c>
      <c r="I100" s="37">
        <v>1400</v>
      </c>
      <c r="J100" s="38">
        <f>Tabla2[[#This Row],[CANTIDAD CARGADAS]]*Tabla2[[#This Row],[COSTOS]]</f>
        <v>1200</v>
      </c>
    </row>
    <row r="101" spans="1:10" x14ac:dyDescent="0.25">
      <c r="A101" s="34">
        <v>118</v>
      </c>
      <c r="B101" s="35">
        <v>481288321</v>
      </c>
      <c r="C101" s="36" t="s">
        <v>96</v>
      </c>
      <c r="D101" s="35" t="s">
        <v>26</v>
      </c>
      <c r="E101" s="18" t="s">
        <v>125</v>
      </c>
      <c r="F101" s="18">
        <v>1</v>
      </c>
      <c r="G101" s="28">
        <v>600</v>
      </c>
      <c r="H101" s="35">
        <f xml:space="preserve"> SUMIFS(Tabla2[CANTIDAD CARGADAS],Tabla2[CODIGO],Tabla2[[#This Row],[CODIGO]]) - SUMIFS(TABLA_CIERRES[CANTIDAD],TABLA_CIERRES[Codigo],Tabla2[[#This Row],[CODIGO]])</f>
        <v>1</v>
      </c>
      <c r="I101" s="37">
        <v>1400</v>
      </c>
      <c r="J101" s="38">
        <f>Tabla2[[#This Row],[CANTIDAD CARGADAS]]*Tabla2[[#This Row],[COSTOS]]</f>
        <v>600</v>
      </c>
    </row>
    <row r="102" spans="1:10" x14ac:dyDescent="0.25">
      <c r="A102" s="34">
        <v>119</v>
      </c>
      <c r="B102" s="35">
        <v>944823341</v>
      </c>
      <c r="C102" s="36" t="s">
        <v>96</v>
      </c>
      <c r="D102" s="35" t="s">
        <v>26</v>
      </c>
      <c r="E102" s="18" t="s">
        <v>124</v>
      </c>
      <c r="F102" s="18">
        <v>12</v>
      </c>
      <c r="G102" s="28">
        <v>600</v>
      </c>
      <c r="H102" s="35">
        <f xml:space="preserve"> SUMIFS(Tabla2[CANTIDAD CARGADAS],Tabla2[CODIGO],Tabla2[[#This Row],[CODIGO]]) - SUMIFS(TABLA_CIERRES[CANTIDAD],TABLA_CIERRES[Codigo],Tabla2[[#This Row],[CODIGO]])</f>
        <v>12</v>
      </c>
      <c r="I102" s="37">
        <v>1400</v>
      </c>
      <c r="J102" s="38">
        <f>Tabla2[[#This Row],[CANTIDAD CARGADAS]]*Tabla2[[#This Row],[COSTOS]]</f>
        <v>7200</v>
      </c>
    </row>
    <row r="103" spans="1:10" x14ac:dyDescent="0.25">
      <c r="A103" s="34">
        <v>120</v>
      </c>
      <c r="B103" s="35">
        <v>879624235</v>
      </c>
      <c r="C103" s="36" t="s">
        <v>96</v>
      </c>
      <c r="D103" s="35" t="s">
        <v>26</v>
      </c>
      <c r="E103" s="18" t="s">
        <v>127</v>
      </c>
      <c r="F103" s="18">
        <v>30</v>
      </c>
      <c r="G103" s="28">
        <v>400</v>
      </c>
      <c r="H103" s="35">
        <f xml:space="preserve"> SUMIFS(Tabla2[CANTIDAD CARGADAS],Tabla2[CODIGO],Tabla2[[#This Row],[CODIGO]]) - SUMIFS(TABLA_CIERRES[CANTIDAD],TABLA_CIERRES[Codigo],Tabla2[[#This Row],[CODIGO]])</f>
        <v>29</v>
      </c>
      <c r="I103" s="37">
        <v>1000</v>
      </c>
      <c r="J103" s="38">
        <f>Tabla2[[#This Row],[CANTIDAD CARGADAS]]*Tabla2[[#This Row],[COSTOS]]</f>
        <v>12000</v>
      </c>
    </row>
    <row r="104" spans="1:10" x14ac:dyDescent="0.25">
      <c r="A104" s="34">
        <v>121</v>
      </c>
      <c r="B104" s="35">
        <v>426428617</v>
      </c>
      <c r="C104" s="36" t="s">
        <v>96</v>
      </c>
      <c r="D104" s="35" t="s">
        <v>26</v>
      </c>
      <c r="E104" s="18" t="s">
        <v>128</v>
      </c>
      <c r="F104" s="18">
        <v>7</v>
      </c>
      <c r="G104" s="28">
        <v>400</v>
      </c>
      <c r="H104" s="35">
        <f xml:space="preserve"> SUMIFS(Tabla2[CANTIDAD CARGADAS],Tabla2[CODIGO],Tabla2[[#This Row],[CODIGO]]) - SUMIFS(TABLA_CIERRES[CANTIDAD],TABLA_CIERRES[Codigo],Tabla2[[#This Row],[CODIGO]])</f>
        <v>6</v>
      </c>
      <c r="I104" s="37">
        <v>1000</v>
      </c>
      <c r="J104" s="38">
        <f>Tabla2[[#This Row],[CANTIDAD CARGADAS]]*Tabla2[[#This Row],[COSTOS]]</f>
        <v>2800</v>
      </c>
    </row>
    <row r="105" spans="1:10" x14ac:dyDescent="0.25">
      <c r="A105" s="34">
        <v>122</v>
      </c>
      <c r="B105" s="35">
        <v>833221322</v>
      </c>
      <c r="C105" s="36" t="s">
        <v>96</v>
      </c>
      <c r="D105" s="35" t="s">
        <v>26</v>
      </c>
      <c r="E105" s="18" t="s">
        <v>129</v>
      </c>
      <c r="F105" s="18">
        <v>14</v>
      </c>
      <c r="G105" s="28">
        <v>400</v>
      </c>
      <c r="H105" s="35">
        <f xml:space="preserve"> SUMIFS(Tabla2[CANTIDAD CARGADAS],Tabla2[CODIGO],Tabla2[[#This Row],[CODIGO]]) - SUMIFS(TABLA_CIERRES[CANTIDAD],TABLA_CIERRES[Codigo],Tabla2[[#This Row],[CODIGO]])</f>
        <v>13</v>
      </c>
      <c r="I105" s="37">
        <v>1000</v>
      </c>
      <c r="J105" s="38">
        <f>Tabla2[[#This Row],[CANTIDAD CARGADAS]]*Tabla2[[#This Row],[COSTOS]]</f>
        <v>5600</v>
      </c>
    </row>
    <row r="106" spans="1:10" x14ac:dyDescent="0.25">
      <c r="A106" s="34">
        <v>123</v>
      </c>
      <c r="B106" s="35">
        <v>67442687</v>
      </c>
      <c r="C106" s="36">
        <v>44928</v>
      </c>
      <c r="D106" s="35" t="s">
        <v>26</v>
      </c>
      <c r="E106" s="18" t="s">
        <v>130</v>
      </c>
      <c r="F106" s="18">
        <v>18</v>
      </c>
      <c r="G106" s="28">
        <v>400</v>
      </c>
      <c r="H106" s="35">
        <f xml:space="preserve"> SUMIFS(Tabla2[CANTIDAD CARGADAS],Tabla2[CODIGO],Tabla2[[#This Row],[CODIGO]]) - SUMIFS(TABLA_CIERRES[CANTIDAD],TABLA_CIERRES[Codigo],Tabla2[[#This Row],[CODIGO]])</f>
        <v>18</v>
      </c>
      <c r="I106" s="37">
        <v>1000</v>
      </c>
      <c r="J106" s="38">
        <f>Tabla2[[#This Row],[CANTIDAD CARGADAS]]*Tabla2[[#This Row],[COSTOS]]</f>
        <v>7200</v>
      </c>
    </row>
    <row r="107" spans="1:10" x14ac:dyDescent="0.25">
      <c r="A107" s="34">
        <v>124</v>
      </c>
      <c r="B107" s="35">
        <v>305387933</v>
      </c>
      <c r="C107" s="36">
        <v>44928</v>
      </c>
      <c r="D107" s="35" t="s">
        <v>26</v>
      </c>
      <c r="E107" s="18" t="s">
        <v>255</v>
      </c>
      <c r="F107" s="18">
        <v>10</v>
      </c>
      <c r="G107" s="28">
        <v>400</v>
      </c>
      <c r="H107" s="35">
        <f xml:space="preserve"> SUMIFS(Tabla2[CANTIDAD CARGADAS],Tabla2[CODIGO],Tabla2[[#This Row],[CODIGO]]) - SUMIFS(TABLA_CIERRES[CANTIDAD],TABLA_CIERRES[Codigo],Tabla2[[#This Row],[CODIGO]])</f>
        <v>10</v>
      </c>
      <c r="I107" s="37">
        <v>1000</v>
      </c>
      <c r="J107" s="38">
        <f>Tabla2[[#This Row],[CANTIDAD CARGADAS]]*Tabla2[[#This Row],[COSTOS]]</f>
        <v>4000</v>
      </c>
    </row>
    <row r="108" spans="1:10" x14ac:dyDescent="0.25">
      <c r="A108" s="34">
        <v>126</v>
      </c>
      <c r="B108" s="35">
        <v>879624236</v>
      </c>
      <c r="C108" s="36" t="s">
        <v>151</v>
      </c>
      <c r="D108" s="35" t="s">
        <v>26</v>
      </c>
      <c r="E108" s="18" t="s">
        <v>131</v>
      </c>
      <c r="F108" s="18">
        <v>24</v>
      </c>
      <c r="G108" s="28">
        <v>400</v>
      </c>
      <c r="H108" s="35">
        <f xml:space="preserve"> SUMIFS(Tabla2[CANTIDAD CARGADAS],Tabla2[CODIGO],Tabla2[[#This Row],[CODIGO]]) - SUMIFS(TABLA_CIERRES[CANTIDAD],TABLA_CIERRES[Codigo],Tabla2[[#This Row],[CODIGO]])</f>
        <v>24</v>
      </c>
      <c r="I108" s="37">
        <v>1000</v>
      </c>
      <c r="J108" s="38">
        <f>Tabla2[[#This Row],[CANTIDAD CARGADAS]]*Tabla2[[#This Row],[COSTOS]]</f>
        <v>9600</v>
      </c>
    </row>
    <row r="109" spans="1:10" x14ac:dyDescent="0.25">
      <c r="A109" s="34">
        <v>127</v>
      </c>
      <c r="B109" s="35">
        <v>214715494</v>
      </c>
      <c r="C109" s="36" t="s">
        <v>96</v>
      </c>
      <c r="D109" s="35" t="s">
        <v>26</v>
      </c>
      <c r="E109" s="18" t="s">
        <v>132</v>
      </c>
      <c r="F109" s="18">
        <v>1</v>
      </c>
      <c r="G109" s="28">
        <v>200</v>
      </c>
      <c r="H109" s="35">
        <f xml:space="preserve"> SUMIFS(Tabla2[CANTIDAD CARGADAS],Tabla2[CODIGO],Tabla2[[#This Row],[CODIGO]]) - SUMIFS(TABLA_CIERRES[CANTIDAD],TABLA_CIERRES[Codigo],Tabla2[[#This Row],[CODIGO]])</f>
        <v>1</v>
      </c>
      <c r="I109" s="37">
        <v>600</v>
      </c>
      <c r="J109" s="38">
        <f>Tabla2[[#This Row],[CANTIDAD CARGADAS]]*Tabla2[[#This Row],[COSTOS]]</f>
        <v>200</v>
      </c>
    </row>
    <row r="110" spans="1:10" x14ac:dyDescent="0.25">
      <c r="A110" s="34">
        <v>128</v>
      </c>
      <c r="B110" s="35">
        <v>444260505</v>
      </c>
      <c r="C110" s="36" t="s">
        <v>151</v>
      </c>
      <c r="D110" s="35" t="s">
        <v>26</v>
      </c>
      <c r="E110" s="18" t="s">
        <v>133</v>
      </c>
      <c r="F110" s="18">
        <v>18</v>
      </c>
      <c r="G110" s="28">
        <v>400</v>
      </c>
      <c r="H110" s="35">
        <f xml:space="preserve"> SUMIFS(Tabla2[CANTIDAD CARGADAS],Tabla2[CODIGO],Tabla2[[#This Row],[CODIGO]]) - SUMIFS(TABLA_CIERRES[CANTIDAD],TABLA_CIERRES[Codigo],Tabla2[[#This Row],[CODIGO]])</f>
        <v>17</v>
      </c>
      <c r="I110" s="37">
        <v>1000</v>
      </c>
      <c r="J110" s="38">
        <f>Tabla2[[#This Row],[CANTIDAD CARGADAS]]*Tabla2[[#This Row],[COSTOS]]</f>
        <v>7200</v>
      </c>
    </row>
    <row r="111" spans="1:10" x14ac:dyDescent="0.25">
      <c r="A111" s="34">
        <v>129</v>
      </c>
      <c r="B111" s="35">
        <v>766433778</v>
      </c>
      <c r="C111" s="36" t="s">
        <v>96</v>
      </c>
      <c r="D111" s="35" t="s">
        <v>26</v>
      </c>
      <c r="E111" s="18" t="s">
        <v>134</v>
      </c>
      <c r="F111" s="18">
        <v>2</v>
      </c>
      <c r="G111" s="28">
        <v>200</v>
      </c>
      <c r="H111" s="35">
        <f xml:space="preserve"> SUMIFS(Tabla2[CANTIDAD CARGADAS],Tabla2[CODIGO],Tabla2[[#This Row],[CODIGO]]) - SUMIFS(TABLA_CIERRES[CANTIDAD],TABLA_CIERRES[Codigo],Tabla2[[#This Row],[CODIGO]])</f>
        <v>2</v>
      </c>
      <c r="I111" s="37">
        <v>600</v>
      </c>
      <c r="J111" s="38">
        <f>Tabla2[[#This Row],[CANTIDAD CARGADAS]]*Tabla2[[#This Row],[COSTOS]]</f>
        <v>400</v>
      </c>
    </row>
    <row r="112" spans="1:10" x14ac:dyDescent="0.25">
      <c r="A112" s="34">
        <v>130</v>
      </c>
      <c r="B112" s="35">
        <v>349951819</v>
      </c>
      <c r="C112" s="36" t="s">
        <v>96</v>
      </c>
      <c r="D112" s="35" t="s">
        <v>26</v>
      </c>
      <c r="E112" s="18" t="s">
        <v>135</v>
      </c>
      <c r="F112" s="18">
        <v>18</v>
      </c>
      <c r="G112" s="28">
        <v>400</v>
      </c>
      <c r="H112" s="35">
        <f xml:space="preserve"> SUMIFS(Tabla2[CANTIDAD CARGADAS],Tabla2[CODIGO],Tabla2[[#This Row],[CODIGO]]) - SUMIFS(TABLA_CIERRES[CANTIDAD],TABLA_CIERRES[Codigo],Tabla2[[#This Row],[CODIGO]])</f>
        <v>18</v>
      </c>
      <c r="I112" s="37">
        <v>1000</v>
      </c>
      <c r="J112" s="38">
        <f>Tabla2[[#This Row],[CANTIDAD CARGADAS]]*Tabla2[[#This Row],[COSTOS]]</f>
        <v>7200</v>
      </c>
    </row>
    <row r="113" spans="1:10" x14ac:dyDescent="0.25">
      <c r="A113" s="34">
        <v>131</v>
      </c>
      <c r="B113" s="35">
        <v>303283074</v>
      </c>
      <c r="C113" s="36" t="s">
        <v>96</v>
      </c>
      <c r="D113" s="35" t="s">
        <v>26</v>
      </c>
      <c r="E113" s="18" t="s">
        <v>136</v>
      </c>
      <c r="F113" s="18">
        <v>15</v>
      </c>
      <c r="G113" s="28">
        <v>400</v>
      </c>
      <c r="H113" s="35">
        <f xml:space="preserve"> SUMIFS(Tabla2[CANTIDAD CARGADAS],Tabla2[CODIGO],Tabla2[[#This Row],[CODIGO]]) - SUMIFS(TABLA_CIERRES[CANTIDAD],TABLA_CIERRES[Codigo],Tabla2[[#This Row],[CODIGO]])</f>
        <v>15</v>
      </c>
      <c r="I113" s="37">
        <v>1000</v>
      </c>
      <c r="J113" s="38">
        <f>Tabla2[[#This Row],[CANTIDAD CARGADAS]]*Tabla2[[#This Row],[COSTOS]]</f>
        <v>6000</v>
      </c>
    </row>
    <row r="114" spans="1:10" x14ac:dyDescent="0.25">
      <c r="A114" s="34">
        <v>132</v>
      </c>
      <c r="B114" s="35">
        <v>349951818</v>
      </c>
      <c r="C114" s="36" t="s">
        <v>96</v>
      </c>
      <c r="D114" s="35" t="s">
        <v>26</v>
      </c>
      <c r="E114" s="18" t="s">
        <v>137</v>
      </c>
      <c r="F114" s="18">
        <v>2</v>
      </c>
      <c r="G114" s="28">
        <v>200</v>
      </c>
      <c r="H114" s="35">
        <f xml:space="preserve"> SUMIFS(Tabla2[CANTIDAD CARGADAS],Tabla2[CODIGO],Tabla2[[#This Row],[CODIGO]]) - SUMIFS(TABLA_CIERRES[CANTIDAD],TABLA_CIERRES[Codigo],Tabla2[[#This Row],[CODIGO]])</f>
        <v>2</v>
      </c>
      <c r="I114" s="37">
        <v>600</v>
      </c>
      <c r="J114" s="38">
        <f>Tabla2[[#This Row],[CANTIDAD CARGADAS]]*Tabla2[[#This Row],[COSTOS]]</f>
        <v>400</v>
      </c>
    </row>
    <row r="115" spans="1:10" x14ac:dyDescent="0.25">
      <c r="A115" s="34">
        <v>133</v>
      </c>
      <c r="B115" s="35">
        <v>997615864</v>
      </c>
      <c r="C115" s="36" t="s">
        <v>96</v>
      </c>
      <c r="D115" s="35" t="s">
        <v>26</v>
      </c>
      <c r="E115" s="18" t="s">
        <v>138</v>
      </c>
      <c r="F115" s="18">
        <v>14</v>
      </c>
      <c r="G115" s="28">
        <v>400</v>
      </c>
      <c r="H115" s="35">
        <f xml:space="preserve"> SUMIFS(Tabla2[CANTIDAD CARGADAS],Tabla2[CODIGO],Tabla2[[#This Row],[CODIGO]]) - SUMIFS(TABLA_CIERRES[CANTIDAD],TABLA_CIERRES[Codigo],Tabla2[[#This Row],[CODIGO]])</f>
        <v>14</v>
      </c>
      <c r="I115" s="37">
        <v>1000</v>
      </c>
      <c r="J115" s="38">
        <f>Tabla2[[#This Row],[CANTIDAD CARGADAS]]*Tabla2[[#This Row],[COSTOS]]</f>
        <v>5600</v>
      </c>
    </row>
    <row r="116" spans="1:10" x14ac:dyDescent="0.25">
      <c r="A116" s="34">
        <v>134</v>
      </c>
      <c r="B116" s="35">
        <v>616208819</v>
      </c>
      <c r="C116" s="36" t="s">
        <v>96</v>
      </c>
      <c r="D116" s="35" t="s">
        <v>26</v>
      </c>
      <c r="E116" s="18" t="s">
        <v>139</v>
      </c>
      <c r="F116" s="18">
        <v>6</v>
      </c>
      <c r="G116" s="28">
        <v>400</v>
      </c>
      <c r="H116" s="35">
        <f xml:space="preserve"> SUMIFS(Tabla2[CANTIDAD CARGADAS],Tabla2[CODIGO],Tabla2[[#This Row],[CODIGO]]) - SUMIFS(TABLA_CIERRES[CANTIDAD],TABLA_CIERRES[Codigo],Tabla2[[#This Row],[CODIGO]])</f>
        <v>6</v>
      </c>
      <c r="I116" s="37">
        <v>1000</v>
      </c>
      <c r="J116" s="38">
        <f>Tabla2[[#This Row],[CANTIDAD CARGADAS]]*Tabla2[[#This Row],[COSTOS]]</f>
        <v>2400</v>
      </c>
    </row>
    <row r="117" spans="1:10" x14ac:dyDescent="0.25">
      <c r="A117" s="34">
        <v>135</v>
      </c>
      <c r="B117" s="35">
        <v>198420948</v>
      </c>
      <c r="C117" s="36" t="s">
        <v>96</v>
      </c>
      <c r="D117" s="35" t="s">
        <v>26</v>
      </c>
      <c r="E117" s="18" t="s">
        <v>140</v>
      </c>
      <c r="F117" s="18">
        <v>3</v>
      </c>
      <c r="G117" s="28">
        <v>600</v>
      </c>
      <c r="H117" s="35">
        <f xml:space="preserve"> SUMIFS(Tabla2[CANTIDAD CARGADAS],Tabla2[CODIGO],Tabla2[[#This Row],[CODIGO]]) - SUMIFS(TABLA_CIERRES[CANTIDAD],TABLA_CIERRES[Codigo],Tabla2[[#This Row],[CODIGO]])</f>
        <v>3</v>
      </c>
      <c r="I117" s="37">
        <v>1400</v>
      </c>
      <c r="J117" s="38">
        <f>Tabla2[[#This Row],[CANTIDAD CARGADAS]]*Tabla2[[#This Row],[COSTOS]]</f>
        <v>1800</v>
      </c>
    </row>
    <row r="118" spans="1:10" x14ac:dyDescent="0.25">
      <c r="A118" s="34">
        <v>136</v>
      </c>
      <c r="B118" s="35">
        <v>549089025</v>
      </c>
      <c r="C118" s="36" t="s">
        <v>96</v>
      </c>
      <c r="D118" s="35" t="s">
        <v>26</v>
      </c>
      <c r="E118" s="18" t="s">
        <v>141</v>
      </c>
      <c r="F118" s="18">
        <v>16</v>
      </c>
      <c r="G118" s="28">
        <v>400</v>
      </c>
      <c r="H118" s="35">
        <f xml:space="preserve"> SUMIFS(Tabla2[CANTIDAD CARGADAS],Tabla2[CODIGO],Tabla2[[#This Row],[CODIGO]]) - SUMIFS(TABLA_CIERRES[CANTIDAD],TABLA_CIERRES[Codigo],Tabla2[[#This Row],[CODIGO]])</f>
        <v>16</v>
      </c>
      <c r="I118" s="37">
        <v>1000</v>
      </c>
      <c r="J118" s="38">
        <f>Tabla2[[#This Row],[CANTIDAD CARGADAS]]*Tabla2[[#This Row],[COSTOS]]</f>
        <v>6400</v>
      </c>
    </row>
    <row r="119" spans="1:10" x14ac:dyDescent="0.25">
      <c r="A119" s="34">
        <v>137</v>
      </c>
      <c r="B119" s="35">
        <v>383340711</v>
      </c>
      <c r="C119" s="36" t="s">
        <v>96</v>
      </c>
      <c r="D119" s="35" t="s">
        <v>26</v>
      </c>
      <c r="E119" s="18" t="s">
        <v>142</v>
      </c>
      <c r="F119" s="18">
        <v>1</v>
      </c>
      <c r="G119" s="28">
        <v>600</v>
      </c>
      <c r="H119" s="35">
        <f xml:space="preserve"> SUMIFS(Tabla2[CANTIDAD CARGADAS],Tabla2[CODIGO],Tabla2[[#This Row],[CODIGO]]) - SUMIFS(TABLA_CIERRES[CANTIDAD],TABLA_CIERRES[Codigo],Tabla2[[#This Row],[CODIGO]])</f>
        <v>1</v>
      </c>
      <c r="I119" s="37">
        <v>1400</v>
      </c>
      <c r="J119" s="38">
        <f>Tabla2[[#This Row],[CANTIDAD CARGADAS]]*Tabla2[[#This Row],[COSTOS]]</f>
        <v>600</v>
      </c>
    </row>
    <row r="120" spans="1:10" x14ac:dyDescent="0.25">
      <c r="A120" s="34">
        <v>138</v>
      </c>
      <c r="B120" s="35">
        <v>131739342</v>
      </c>
      <c r="C120" s="36" t="s">
        <v>96</v>
      </c>
      <c r="D120" s="35" t="s">
        <v>26</v>
      </c>
      <c r="E120" s="18" t="s">
        <v>143</v>
      </c>
      <c r="F120" s="18">
        <v>13</v>
      </c>
      <c r="G120" s="28">
        <v>400</v>
      </c>
      <c r="H120" s="35">
        <f xml:space="preserve"> SUMIFS(Tabla2[CANTIDAD CARGADAS],Tabla2[CODIGO],Tabla2[[#This Row],[CODIGO]]) - SUMIFS(TABLA_CIERRES[CANTIDAD],TABLA_CIERRES[Codigo],Tabla2[[#This Row],[CODIGO]])</f>
        <v>13</v>
      </c>
      <c r="I120" s="37">
        <v>1000</v>
      </c>
      <c r="J120" s="38">
        <f>Tabla2[[#This Row],[CANTIDAD CARGADAS]]*Tabla2[[#This Row],[COSTOS]]</f>
        <v>5200</v>
      </c>
    </row>
    <row r="121" spans="1:10" x14ac:dyDescent="0.25">
      <c r="A121" s="34">
        <v>139</v>
      </c>
      <c r="B121" s="35">
        <v>153884775</v>
      </c>
      <c r="C121" s="36" t="s">
        <v>96</v>
      </c>
      <c r="D121" s="35" t="s">
        <v>26</v>
      </c>
      <c r="E121" s="18" t="s">
        <v>144</v>
      </c>
      <c r="F121" s="18">
        <v>10</v>
      </c>
      <c r="G121" s="28">
        <v>200</v>
      </c>
      <c r="H121" s="35">
        <f xml:space="preserve"> SUMIFS(Tabla2[CANTIDAD CARGADAS],Tabla2[CODIGO],Tabla2[[#This Row],[CODIGO]]) - SUMIFS(TABLA_CIERRES[CANTIDAD],TABLA_CIERRES[Codigo],Tabla2[[#This Row],[CODIGO]])</f>
        <v>10</v>
      </c>
      <c r="I121" s="37">
        <v>600</v>
      </c>
      <c r="J121" s="38">
        <f>Tabla2[[#This Row],[CANTIDAD CARGADAS]]*Tabla2[[#This Row],[COSTOS]]</f>
        <v>2000</v>
      </c>
    </row>
    <row r="122" spans="1:10" x14ac:dyDescent="0.25">
      <c r="A122" s="34">
        <v>140</v>
      </c>
      <c r="B122" s="35">
        <v>826857389</v>
      </c>
      <c r="C122" s="36" t="s">
        <v>96</v>
      </c>
      <c r="D122" s="35" t="s">
        <v>26</v>
      </c>
      <c r="E122" s="18" t="s">
        <v>145</v>
      </c>
      <c r="F122" s="18">
        <v>9</v>
      </c>
      <c r="G122" s="28">
        <v>400</v>
      </c>
      <c r="H122" s="35">
        <f xml:space="preserve"> SUMIFS(Tabla2[CANTIDAD CARGADAS],Tabla2[CODIGO],Tabla2[[#This Row],[CODIGO]]) - SUMIFS(TABLA_CIERRES[CANTIDAD],TABLA_CIERRES[Codigo],Tabla2[[#This Row],[CODIGO]])</f>
        <v>8</v>
      </c>
      <c r="I122" s="37">
        <v>1000</v>
      </c>
      <c r="J122" s="38">
        <f>Tabla2[[#This Row],[CANTIDAD CARGADAS]]*Tabla2[[#This Row],[COSTOS]]</f>
        <v>3600</v>
      </c>
    </row>
    <row r="123" spans="1:10" x14ac:dyDescent="0.25">
      <c r="A123" s="34">
        <v>141</v>
      </c>
      <c r="B123" s="35">
        <v>383340710</v>
      </c>
      <c r="C123" s="36" t="s">
        <v>96</v>
      </c>
      <c r="D123" s="35" t="s">
        <v>26</v>
      </c>
      <c r="E123" s="18" t="s">
        <v>146</v>
      </c>
      <c r="F123" s="18">
        <v>4</v>
      </c>
      <c r="G123" s="28">
        <v>600</v>
      </c>
      <c r="H123" s="35">
        <f xml:space="preserve"> SUMIFS(Tabla2[CANTIDAD CARGADAS],Tabla2[CODIGO],Tabla2[[#This Row],[CODIGO]]) - SUMIFS(TABLA_CIERRES[CANTIDAD],TABLA_CIERRES[Codigo],Tabla2[[#This Row],[CODIGO]])</f>
        <v>4</v>
      </c>
      <c r="I123" s="37">
        <v>1400</v>
      </c>
      <c r="J123" s="38">
        <f>Tabla2[[#This Row],[CANTIDAD CARGADAS]]*Tabla2[[#This Row],[COSTOS]]</f>
        <v>2400</v>
      </c>
    </row>
    <row r="124" spans="1:10" x14ac:dyDescent="0.25">
      <c r="A124" s="34">
        <v>142</v>
      </c>
      <c r="B124" s="35">
        <v>554180811</v>
      </c>
      <c r="C124" s="36" t="s">
        <v>96</v>
      </c>
      <c r="D124" s="35" t="s">
        <v>26</v>
      </c>
      <c r="E124" s="18" t="s">
        <v>147</v>
      </c>
      <c r="F124" s="18">
        <v>8</v>
      </c>
      <c r="G124" s="28">
        <v>200</v>
      </c>
      <c r="H124" s="35">
        <f xml:space="preserve"> SUMIFS(Tabla2[CANTIDAD CARGADAS],Tabla2[CODIGO],Tabla2[[#This Row],[CODIGO]]) - SUMIFS(TABLA_CIERRES[CANTIDAD],TABLA_CIERRES[Codigo],Tabla2[[#This Row],[CODIGO]])</f>
        <v>8</v>
      </c>
      <c r="I124" s="37">
        <v>600</v>
      </c>
      <c r="J124" s="38">
        <f>Tabla2[[#This Row],[CANTIDAD CARGADAS]]*Tabla2[[#This Row],[COSTOS]]</f>
        <v>1600</v>
      </c>
    </row>
    <row r="125" spans="1:10" x14ac:dyDescent="0.25">
      <c r="A125" s="34">
        <v>143</v>
      </c>
      <c r="B125" s="35">
        <v>616208818</v>
      </c>
      <c r="C125" s="36" t="s">
        <v>96</v>
      </c>
      <c r="D125" s="35" t="s">
        <v>26</v>
      </c>
      <c r="E125" s="18" t="s">
        <v>148</v>
      </c>
      <c r="F125" s="18">
        <v>1</v>
      </c>
      <c r="G125" s="28">
        <v>600</v>
      </c>
      <c r="H125" s="35">
        <f xml:space="preserve"> SUMIFS(Tabla2[CANTIDAD CARGADAS],Tabla2[CODIGO],Tabla2[[#This Row],[CODIGO]]) - SUMIFS(TABLA_CIERRES[CANTIDAD],TABLA_CIERRES[Codigo],Tabla2[[#This Row],[CODIGO]])</f>
        <v>1</v>
      </c>
      <c r="I125" s="37">
        <v>1400</v>
      </c>
      <c r="J125" s="38">
        <f>Tabla2[[#This Row],[CANTIDAD CARGADAS]]*Tabla2[[#This Row],[COSTOS]]</f>
        <v>600</v>
      </c>
    </row>
    <row r="126" spans="1:10" x14ac:dyDescent="0.25">
      <c r="A126" s="34">
        <v>144</v>
      </c>
      <c r="B126" s="35">
        <v>214715493</v>
      </c>
      <c r="C126" s="36" t="s">
        <v>151</v>
      </c>
      <c r="D126" s="35" t="s">
        <v>26</v>
      </c>
      <c r="E126" s="18" t="s">
        <v>152</v>
      </c>
      <c r="F126" s="18">
        <v>13</v>
      </c>
      <c r="G126" s="28">
        <v>400</v>
      </c>
      <c r="H126" s="35">
        <f xml:space="preserve"> SUMIFS(Tabla2[CANTIDAD CARGADAS],Tabla2[CODIGO],Tabla2[[#This Row],[CODIGO]]) - SUMIFS(TABLA_CIERRES[CANTIDAD],TABLA_CIERRES[Codigo],Tabla2[[#This Row],[CODIGO]])</f>
        <v>13</v>
      </c>
      <c r="I126" s="37">
        <v>1000</v>
      </c>
      <c r="J126" s="38">
        <f>Tabla2[[#This Row],[CANTIDAD CARGADAS]]*Tabla2[[#This Row],[COSTOS]]</f>
        <v>5200</v>
      </c>
    </row>
    <row r="127" spans="1:10" x14ac:dyDescent="0.25">
      <c r="A127" s="34">
        <v>145</v>
      </c>
      <c r="B127" s="35">
        <v>764281207</v>
      </c>
      <c r="C127" s="36" t="s">
        <v>151</v>
      </c>
      <c r="D127" s="35" t="s">
        <v>26</v>
      </c>
      <c r="E127" s="18" t="s">
        <v>153</v>
      </c>
      <c r="F127" s="18">
        <v>4</v>
      </c>
      <c r="G127" s="28">
        <v>200</v>
      </c>
      <c r="H127" s="35">
        <f xml:space="preserve"> SUMIFS(Tabla2[CANTIDAD CARGADAS],Tabla2[CODIGO],Tabla2[[#This Row],[CODIGO]]) - SUMIFS(TABLA_CIERRES[CANTIDAD],TABLA_CIERRES[Codigo],Tabla2[[#This Row],[CODIGO]])</f>
        <v>4</v>
      </c>
      <c r="I127" s="37">
        <v>600</v>
      </c>
      <c r="J127" s="38">
        <f>Tabla2[[#This Row],[CANTIDAD CARGADAS]]*Tabla2[[#This Row],[COSTOS]]</f>
        <v>800</v>
      </c>
    </row>
    <row r="128" spans="1:10" x14ac:dyDescent="0.25">
      <c r="A128" s="34">
        <v>146</v>
      </c>
      <c r="B128" s="35">
        <v>546639445</v>
      </c>
      <c r="C128" s="36" t="s">
        <v>151</v>
      </c>
      <c r="D128" s="35" t="s">
        <v>26</v>
      </c>
      <c r="E128" s="18" t="s">
        <v>154</v>
      </c>
      <c r="F128" s="18">
        <v>14</v>
      </c>
      <c r="G128" s="28">
        <v>400</v>
      </c>
      <c r="H128" s="35">
        <f xml:space="preserve"> SUMIFS(Tabla2[CANTIDAD CARGADAS],Tabla2[CODIGO],Tabla2[[#This Row],[CODIGO]]) - SUMIFS(TABLA_CIERRES[CANTIDAD],TABLA_CIERRES[Codigo],Tabla2[[#This Row],[CODIGO]])</f>
        <v>14</v>
      </c>
      <c r="I128" s="37">
        <v>1000</v>
      </c>
      <c r="J128" s="38">
        <f>Tabla2[[#This Row],[CANTIDAD CARGADAS]]*Tabla2[[#This Row],[COSTOS]]</f>
        <v>5600</v>
      </c>
    </row>
    <row r="129" spans="1:10" x14ac:dyDescent="0.25">
      <c r="A129" s="34">
        <v>147</v>
      </c>
      <c r="B129" s="35">
        <v>861192763</v>
      </c>
      <c r="C129" s="36" t="s">
        <v>151</v>
      </c>
      <c r="D129" s="35" t="s">
        <v>26</v>
      </c>
      <c r="E129" s="18" t="s">
        <v>155</v>
      </c>
      <c r="F129" s="18">
        <v>10</v>
      </c>
      <c r="G129" s="28">
        <v>400</v>
      </c>
      <c r="H129" s="35">
        <f xml:space="preserve"> SUMIFS(Tabla2[CANTIDAD CARGADAS],Tabla2[CODIGO],Tabla2[[#This Row],[CODIGO]]) - SUMIFS(TABLA_CIERRES[CANTIDAD],TABLA_CIERRES[Codigo],Tabla2[[#This Row],[CODIGO]])</f>
        <v>22</v>
      </c>
      <c r="I129" s="37">
        <v>1000</v>
      </c>
      <c r="J129" s="38">
        <f>Tabla2[[#This Row],[CANTIDAD CARGADAS]]*Tabla2[[#This Row],[COSTOS]]</f>
        <v>4000</v>
      </c>
    </row>
    <row r="130" spans="1:10" x14ac:dyDescent="0.25">
      <c r="A130" s="34">
        <v>148</v>
      </c>
      <c r="B130" s="35">
        <v>848817031</v>
      </c>
      <c r="C130" s="36" t="s">
        <v>151</v>
      </c>
      <c r="D130" s="35" t="s">
        <v>26</v>
      </c>
      <c r="E130" s="18" t="s">
        <v>156</v>
      </c>
      <c r="F130" s="18">
        <v>18</v>
      </c>
      <c r="G130" s="28">
        <v>400</v>
      </c>
      <c r="H130" s="35">
        <f xml:space="preserve"> SUMIFS(Tabla2[CANTIDAD CARGADAS],Tabla2[CODIGO],Tabla2[[#This Row],[CODIGO]]) - SUMIFS(TABLA_CIERRES[CANTIDAD],TABLA_CIERRES[Codigo],Tabla2[[#This Row],[CODIGO]])</f>
        <v>17</v>
      </c>
      <c r="I130" s="37">
        <v>1000</v>
      </c>
      <c r="J130" s="38">
        <f>Tabla2[[#This Row],[CANTIDAD CARGADAS]]*Tabla2[[#This Row],[COSTOS]]</f>
        <v>7200</v>
      </c>
    </row>
    <row r="131" spans="1:10" x14ac:dyDescent="0.25">
      <c r="A131" s="34">
        <v>149</v>
      </c>
      <c r="B131" s="35">
        <v>436003538</v>
      </c>
      <c r="C131" s="36" t="s">
        <v>151</v>
      </c>
      <c r="D131" s="35" t="s">
        <v>26</v>
      </c>
      <c r="E131" s="18" t="s">
        <v>157</v>
      </c>
      <c r="F131" s="18">
        <v>1</v>
      </c>
      <c r="G131" s="28">
        <v>600</v>
      </c>
      <c r="H131" s="35">
        <f xml:space="preserve"> SUMIFS(Tabla2[CANTIDAD CARGADAS],Tabla2[CODIGO],Tabla2[[#This Row],[CODIGO]]) - SUMIFS(TABLA_CIERRES[CANTIDAD],TABLA_CIERRES[Codigo],Tabla2[[#This Row],[CODIGO]])</f>
        <v>0</v>
      </c>
      <c r="I131" s="37">
        <v>1400</v>
      </c>
      <c r="J131" s="38">
        <f>Tabla2[[#This Row],[CANTIDAD CARGADAS]]*Tabla2[[#This Row],[COSTOS]]</f>
        <v>600</v>
      </c>
    </row>
    <row r="132" spans="1:10" x14ac:dyDescent="0.25">
      <c r="A132" s="34">
        <v>150</v>
      </c>
      <c r="B132" s="35">
        <v>784907561</v>
      </c>
      <c r="C132" s="36">
        <v>44959</v>
      </c>
      <c r="D132" s="35" t="s">
        <v>26</v>
      </c>
      <c r="E132" s="18" t="s">
        <v>279</v>
      </c>
      <c r="F132" s="18">
        <v>7</v>
      </c>
      <c r="G132" s="28">
        <v>400</v>
      </c>
      <c r="H132" s="35">
        <f xml:space="preserve"> SUMIFS(Tabla2[CANTIDAD CARGADAS],Tabla2[CODIGO],Tabla2[[#This Row],[CODIGO]]) - SUMIFS(TABLA_CIERRES[CANTIDAD],TABLA_CIERRES[Codigo],Tabla2[[#This Row],[CODIGO]])</f>
        <v>7</v>
      </c>
      <c r="I132" s="37">
        <v>1000</v>
      </c>
      <c r="J132" s="38">
        <f>Tabla2[[#This Row],[CANTIDAD CARGADAS]]*Tabla2[[#This Row],[COSTOS]]</f>
        <v>2800</v>
      </c>
    </row>
    <row r="133" spans="1:10" x14ac:dyDescent="0.25">
      <c r="A133" s="34">
        <v>151</v>
      </c>
      <c r="B133" s="35">
        <v>722483455</v>
      </c>
      <c r="C133" s="36" t="s">
        <v>151</v>
      </c>
      <c r="D133" s="35" t="s">
        <v>26</v>
      </c>
      <c r="E133" s="18" t="s">
        <v>158</v>
      </c>
      <c r="F133" s="18">
        <v>24</v>
      </c>
      <c r="G133" s="28">
        <v>400</v>
      </c>
      <c r="H133" s="35">
        <f xml:space="preserve"> SUMIFS(Tabla2[CANTIDAD CARGADAS],Tabla2[CODIGO],Tabla2[[#This Row],[CODIGO]]) - SUMIFS(TABLA_CIERRES[CANTIDAD],TABLA_CIERRES[Codigo],Tabla2[[#This Row],[CODIGO]])</f>
        <v>23</v>
      </c>
      <c r="I133" s="37">
        <v>1000</v>
      </c>
      <c r="J133" s="38">
        <f>Tabla2[[#This Row],[CANTIDAD CARGADAS]]*Tabla2[[#This Row],[COSTOS]]</f>
        <v>9600</v>
      </c>
    </row>
    <row r="134" spans="1:10" x14ac:dyDescent="0.25">
      <c r="A134" s="34">
        <v>152</v>
      </c>
      <c r="B134" s="35">
        <v>282035264</v>
      </c>
      <c r="C134" s="36" t="s">
        <v>151</v>
      </c>
      <c r="D134" s="35" t="s">
        <v>26</v>
      </c>
      <c r="E134" s="18" t="s">
        <v>159</v>
      </c>
      <c r="F134" s="18">
        <v>13</v>
      </c>
      <c r="G134" s="28">
        <v>400</v>
      </c>
      <c r="H134" s="35">
        <f xml:space="preserve"> SUMIFS(Tabla2[CANTIDAD CARGADAS],Tabla2[CODIGO],Tabla2[[#This Row],[CODIGO]]) - SUMIFS(TABLA_CIERRES[CANTIDAD],TABLA_CIERRES[Codigo],Tabla2[[#This Row],[CODIGO]])</f>
        <v>13</v>
      </c>
      <c r="I134" s="37">
        <v>1000</v>
      </c>
      <c r="J134" s="38">
        <f>Tabla2[[#This Row],[CANTIDAD CARGADAS]]*Tabla2[[#This Row],[COSTOS]]</f>
        <v>5200</v>
      </c>
    </row>
    <row r="135" spans="1:10" x14ac:dyDescent="0.25">
      <c r="A135" s="34">
        <v>153</v>
      </c>
      <c r="B135" s="35">
        <v>882257061</v>
      </c>
      <c r="C135" s="36" t="s">
        <v>151</v>
      </c>
      <c r="D135" s="35" t="s">
        <v>26</v>
      </c>
      <c r="E135" s="18" t="s">
        <v>160</v>
      </c>
      <c r="F135" s="18">
        <v>8</v>
      </c>
      <c r="G135" s="28">
        <v>600</v>
      </c>
      <c r="H135" s="35">
        <f xml:space="preserve"> SUMIFS(Tabla2[CANTIDAD CARGADAS],Tabla2[CODIGO],Tabla2[[#This Row],[CODIGO]]) - SUMIFS(TABLA_CIERRES[CANTIDAD],TABLA_CIERRES[Codigo],Tabla2[[#This Row],[CODIGO]])</f>
        <v>8</v>
      </c>
      <c r="I135" s="37">
        <v>1400</v>
      </c>
      <c r="J135" s="38">
        <f>Tabla2[[#This Row],[CANTIDAD CARGADAS]]*Tabla2[[#This Row],[COSTOS]]</f>
        <v>4800</v>
      </c>
    </row>
    <row r="136" spans="1:10" x14ac:dyDescent="0.25">
      <c r="A136" s="34">
        <v>154</v>
      </c>
      <c r="B136" s="35">
        <v>764281206</v>
      </c>
      <c r="C136" s="36" t="s">
        <v>151</v>
      </c>
      <c r="D136" s="35" t="s">
        <v>26</v>
      </c>
      <c r="E136" s="18" t="s">
        <v>161</v>
      </c>
      <c r="F136" s="18">
        <v>1</v>
      </c>
      <c r="G136" s="28">
        <v>200</v>
      </c>
      <c r="H136" s="35">
        <f xml:space="preserve"> SUMIFS(Tabla2[CANTIDAD CARGADAS],Tabla2[CODIGO],Tabla2[[#This Row],[CODIGO]]) - SUMIFS(TABLA_CIERRES[CANTIDAD],TABLA_CIERRES[Codigo],Tabla2[[#This Row],[CODIGO]])</f>
        <v>1</v>
      </c>
      <c r="I136" s="37">
        <v>600</v>
      </c>
      <c r="J136" s="38">
        <f>Tabla2[[#This Row],[CANTIDAD CARGADAS]]*Tabla2[[#This Row],[COSTOS]]</f>
        <v>200</v>
      </c>
    </row>
    <row r="137" spans="1:10" x14ac:dyDescent="0.25">
      <c r="A137" s="34">
        <v>155</v>
      </c>
      <c r="B137" s="35">
        <v>960930381</v>
      </c>
      <c r="C137" s="36" t="s">
        <v>151</v>
      </c>
      <c r="D137" s="35" t="s">
        <v>26</v>
      </c>
      <c r="E137" s="18" t="s">
        <v>162</v>
      </c>
      <c r="F137" s="18">
        <v>14</v>
      </c>
      <c r="G137" s="28">
        <v>600</v>
      </c>
      <c r="H137" s="35">
        <f xml:space="preserve"> SUMIFS(Tabla2[CANTIDAD CARGADAS],Tabla2[CODIGO],Tabla2[[#This Row],[CODIGO]]) - SUMIFS(TABLA_CIERRES[CANTIDAD],TABLA_CIERRES[Codigo],Tabla2[[#This Row],[CODIGO]])</f>
        <v>14</v>
      </c>
      <c r="I137" s="37">
        <v>1400</v>
      </c>
      <c r="J137" s="38">
        <f>Tabla2[[#This Row],[CANTIDAD CARGADAS]]*Tabla2[[#This Row],[COSTOS]]</f>
        <v>8400</v>
      </c>
    </row>
    <row r="138" spans="1:10" x14ac:dyDescent="0.25">
      <c r="A138" s="34">
        <v>156</v>
      </c>
      <c r="B138" s="35">
        <v>421595882</v>
      </c>
      <c r="C138" s="36" t="s">
        <v>151</v>
      </c>
      <c r="D138" s="35" t="s">
        <v>26</v>
      </c>
      <c r="E138" s="18" t="s">
        <v>163</v>
      </c>
      <c r="F138" s="18">
        <v>11</v>
      </c>
      <c r="G138" s="28">
        <v>400</v>
      </c>
      <c r="H138" s="35">
        <f xml:space="preserve"> SUMIFS(Tabla2[CANTIDAD CARGADAS],Tabla2[CODIGO],Tabla2[[#This Row],[CODIGO]]) - SUMIFS(TABLA_CIERRES[CANTIDAD],TABLA_CIERRES[Codigo],Tabla2[[#This Row],[CODIGO]])</f>
        <v>11</v>
      </c>
      <c r="I138" s="37">
        <v>1000</v>
      </c>
      <c r="J138" s="38">
        <f>Tabla2[[#This Row],[CANTIDAD CARGADAS]]*Tabla2[[#This Row],[COSTOS]]</f>
        <v>4400</v>
      </c>
    </row>
    <row r="139" spans="1:10" x14ac:dyDescent="0.25">
      <c r="A139" s="34">
        <v>157</v>
      </c>
      <c r="B139" s="35">
        <v>305387932</v>
      </c>
      <c r="C139" s="36" t="s">
        <v>151</v>
      </c>
      <c r="D139" s="35" t="s">
        <v>26</v>
      </c>
      <c r="E139" s="18" t="s">
        <v>164</v>
      </c>
      <c r="F139" s="18">
        <v>5</v>
      </c>
      <c r="G139" s="28">
        <v>200</v>
      </c>
      <c r="H139" s="35">
        <f xml:space="preserve"> SUMIFS(Tabla2[CANTIDAD CARGADAS],Tabla2[CODIGO],Tabla2[[#This Row],[CODIGO]]) - SUMIFS(TABLA_CIERRES[CANTIDAD],TABLA_CIERRES[Codigo],Tabla2[[#This Row],[CODIGO]])</f>
        <v>5</v>
      </c>
      <c r="I139" s="37">
        <v>600</v>
      </c>
      <c r="J139" s="38">
        <f>Tabla2[[#This Row],[CANTIDAD CARGADAS]]*Tabla2[[#This Row],[COSTOS]]</f>
        <v>1000</v>
      </c>
    </row>
    <row r="140" spans="1:10" x14ac:dyDescent="0.25">
      <c r="A140" s="34">
        <v>161</v>
      </c>
      <c r="B140" s="35">
        <v>275789326</v>
      </c>
      <c r="C140" s="36" t="s">
        <v>151</v>
      </c>
      <c r="D140" s="35" t="s">
        <v>26</v>
      </c>
      <c r="E140" s="18" t="s">
        <v>168</v>
      </c>
      <c r="F140" s="18">
        <v>5</v>
      </c>
      <c r="G140" s="28">
        <v>400</v>
      </c>
      <c r="H140" s="35">
        <f xml:space="preserve"> SUMIFS(Tabla2[CANTIDAD CARGADAS],Tabla2[CODIGO],Tabla2[[#This Row],[CODIGO]]) - SUMIFS(TABLA_CIERRES[CANTIDAD],TABLA_CIERRES[Codigo],Tabla2[[#This Row],[CODIGO]])</f>
        <v>5</v>
      </c>
      <c r="I140" s="37">
        <v>1000</v>
      </c>
      <c r="J140" s="38">
        <f>Tabla2[[#This Row],[CANTIDAD CARGADAS]]*Tabla2[[#This Row],[COSTOS]]</f>
        <v>2000</v>
      </c>
    </row>
    <row r="141" spans="1:10" x14ac:dyDescent="0.25">
      <c r="A141" s="34">
        <v>162</v>
      </c>
      <c r="B141" s="35">
        <v>434922740</v>
      </c>
      <c r="C141" s="36" t="s">
        <v>151</v>
      </c>
      <c r="D141" s="35" t="s">
        <v>26</v>
      </c>
      <c r="E141" s="18" t="s">
        <v>169</v>
      </c>
      <c r="F141" s="18">
        <v>24</v>
      </c>
      <c r="G141" s="28">
        <v>400</v>
      </c>
      <c r="H141" s="35">
        <f xml:space="preserve"> SUMIFS(Tabla2[CANTIDAD CARGADAS],Tabla2[CODIGO],Tabla2[[#This Row],[CODIGO]]) - SUMIFS(TABLA_CIERRES[CANTIDAD],TABLA_CIERRES[Codigo],Tabla2[[#This Row],[CODIGO]])</f>
        <v>24</v>
      </c>
      <c r="I141" s="37">
        <v>1000</v>
      </c>
      <c r="J141" s="38">
        <f>Tabla2[[#This Row],[CANTIDAD CARGADAS]]*Tabla2[[#This Row],[COSTOS]]</f>
        <v>9600</v>
      </c>
    </row>
    <row r="142" spans="1:10" x14ac:dyDescent="0.25">
      <c r="A142" s="34">
        <v>163</v>
      </c>
      <c r="B142" s="35">
        <v>303283073</v>
      </c>
      <c r="C142" s="36" t="s">
        <v>151</v>
      </c>
      <c r="D142" s="35" t="s">
        <v>26</v>
      </c>
      <c r="E142" s="18" t="s">
        <v>170</v>
      </c>
      <c r="F142" s="18">
        <v>4</v>
      </c>
      <c r="G142" s="28">
        <v>200</v>
      </c>
      <c r="H142" s="35">
        <f xml:space="preserve"> SUMIFS(Tabla2[CANTIDAD CARGADAS],Tabla2[CODIGO],Tabla2[[#This Row],[CODIGO]]) - SUMIFS(TABLA_CIERRES[CANTIDAD],TABLA_CIERRES[Codigo],Tabla2[[#This Row],[CODIGO]])</f>
        <v>4</v>
      </c>
      <c r="I142" s="37">
        <v>600</v>
      </c>
      <c r="J142" s="38">
        <f>Tabla2[[#This Row],[CANTIDAD CARGADAS]]*Tabla2[[#This Row],[COSTOS]]</f>
        <v>800</v>
      </c>
    </row>
    <row r="143" spans="1:10" x14ac:dyDescent="0.25">
      <c r="A143" s="34">
        <v>164</v>
      </c>
      <c r="B143" s="35">
        <v>554180812</v>
      </c>
      <c r="C143" s="36" t="s">
        <v>151</v>
      </c>
      <c r="D143" s="35" t="s">
        <v>26</v>
      </c>
      <c r="E143" s="18" t="s">
        <v>171</v>
      </c>
      <c r="F143" s="18">
        <v>4</v>
      </c>
      <c r="G143" s="28">
        <v>600</v>
      </c>
      <c r="H143" s="35">
        <f xml:space="preserve"> SUMIFS(Tabla2[CANTIDAD CARGADAS],Tabla2[CODIGO],Tabla2[[#This Row],[CODIGO]]) - SUMIFS(TABLA_CIERRES[CANTIDAD],TABLA_CIERRES[Codigo],Tabla2[[#This Row],[CODIGO]])</f>
        <v>8</v>
      </c>
      <c r="I143" s="37">
        <v>1400</v>
      </c>
      <c r="J143" s="38">
        <f>Tabla2[[#This Row],[CANTIDAD CARGADAS]]*Tabla2[[#This Row],[COSTOS]]</f>
        <v>2400</v>
      </c>
    </row>
    <row r="144" spans="1:10" x14ac:dyDescent="0.25">
      <c r="A144" s="34">
        <v>165</v>
      </c>
      <c r="B144" s="35">
        <v>238104447</v>
      </c>
      <c r="C144" s="36" t="s">
        <v>151</v>
      </c>
      <c r="D144" s="35" t="s">
        <v>172</v>
      </c>
      <c r="E144" s="18" t="s">
        <v>173</v>
      </c>
      <c r="F144" s="18">
        <v>25</v>
      </c>
      <c r="G144" s="28">
        <v>100</v>
      </c>
      <c r="H144" s="35">
        <f xml:space="preserve"> SUMIFS(Tabla2[CANTIDAD CARGADAS],Tabla2[CODIGO],Tabla2[[#This Row],[CODIGO]]) - SUMIFS(TABLA_CIERRES[CANTIDAD],TABLA_CIERRES[Codigo],Tabla2[[#This Row],[CODIGO]])</f>
        <v>25</v>
      </c>
      <c r="I144" s="37">
        <v>400</v>
      </c>
      <c r="J144" s="38">
        <f>Tabla2[[#This Row],[CANTIDAD CARGADAS]]*Tabla2[[#This Row],[COSTOS]]</f>
        <v>2500</v>
      </c>
    </row>
    <row r="145" spans="1:10" x14ac:dyDescent="0.25">
      <c r="A145" s="34">
        <v>166</v>
      </c>
      <c r="B145" s="35">
        <v>342974414</v>
      </c>
      <c r="C145" s="36" t="s">
        <v>151</v>
      </c>
      <c r="D145" s="35" t="s">
        <v>172</v>
      </c>
      <c r="E145" s="18" t="s">
        <v>174</v>
      </c>
      <c r="F145" s="18">
        <v>14</v>
      </c>
      <c r="G145" s="28">
        <v>100</v>
      </c>
      <c r="H145" s="35">
        <f xml:space="preserve"> SUMIFS(Tabla2[CANTIDAD CARGADAS],Tabla2[CODIGO],Tabla2[[#This Row],[CODIGO]]) - SUMIFS(TABLA_CIERRES[CANTIDAD],TABLA_CIERRES[Codigo],Tabla2[[#This Row],[CODIGO]])</f>
        <v>14</v>
      </c>
      <c r="I145" s="37">
        <v>400</v>
      </c>
      <c r="J145" s="38">
        <f>Tabla2[[#This Row],[CANTIDAD CARGADAS]]*Tabla2[[#This Row],[COSTOS]]</f>
        <v>1400</v>
      </c>
    </row>
    <row r="146" spans="1:10" x14ac:dyDescent="0.25">
      <c r="A146" s="34">
        <v>167</v>
      </c>
      <c r="B146" s="35">
        <v>171737137</v>
      </c>
      <c r="C146" s="36" t="s">
        <v>151</v>
      </c>
      <c r="D146" s="35" t="s">
        <v>172</v>
      </c>
      <c r="E146" s="18" t="s">
        <v>175</v>
      </c>
      <c r="F146" s="18">
        <v>16</v>
      </c>
      <c r="G146" s="28">
        <v>100</v>
      </c>
      <c r="H146" s="35">
        <f xml:space="preserve"> SUMIFS(Tabla2[CANTIDAD CARGADAS],Tabla2[CODIGO],Tabla2[[#This Row],[CODIGO]]) - SUMIFS(TABLA_CIERRES[CANTIDAD],TABLA_CIERRES[Codigo],Tabla2[[#This Row],[CODIGO]])</f>
        <v>16</v>
      </c>
      <c r="I146" s="37">
        <v>400</v>
      </c>
      <c r="J146" s="38">
        <f>Tabla2[[#This Row],[CANTIDAD CARGADAS]]*Tabla2[[#This Row],[COSTOS]]</f>
        <v>1600</v>
      </c>
    </row>
    <row r="147" spans="1:10" x14ac:dyDescent="0.25">
      <c r="A147" s="34">
        <v>168</v>
      </c>
      <c r="B147" s="35">
        <v>660998801</v>
      </c>
      <c r="C147" s="36" t="s">
        <v>151</v>
      </c>
      <c r="D147" s="35" t="s">
        <v>172</v>
      </c>
      <c r="E147" s="18" t="s">
        <v>176</v>
      </c>
      <c r="F147" s="18">
        <v>3</v>
      </c>
      <c r="G147" s="28">
        <v>100</v>
      </c>
      <c r="H147" s="35">
        <f xml:space="preserve"> SUMIFS(Tabla2[CANTIDAD CARGADAS],Tabla2[CODIGO],Tabla2[[#This Row],[CODIGO]]) - SUMIFS(TABLA_CIERRES[CANTIDAD],TABLA_CIERRES[Codigo],Tabla2[[#This Row],[CODIGO]])</f>
        <v>3</v>
      </c>
      <c r="I147" s="37">
        <v>400</v>
      </c>
      <c r="J147" s="38">
        <f>Tabla2[[#This Row],[CANTIDAD CARGADAS]]*Tabla2[[#This Row],[COSTOS]]</f>
        <v>300</v>
      </c>
    </row>
    <row r="148" spans="1:10" x14ac:dyDescent="0.25">
      <c r="A148" s="34">
        <v>169</v>
      </c>
      <c r="B148" s="35">
        <v>46549112</v>
      </c>
      <c r="C148" s="36" t="s">
        <v>151</v>
      </c>
      <c r="D148" s="35" t="s">
        <v>172</v>
      </c>
      <c r="E148" s="18" t="s">
        <v>177</v>
      </c>
      <c r="F148" s="18">
        <v>41</v>
      </c>
      <c r="G148" s="28">
        <v>100</v>
      </c>
      <c r="H148" s="35">
        <f xml:space="preserve"> SUMIFS(Tabla2[CANTIDAD CARGADAS],Tabla2[CODIGO],Tabla2[[#This Row],[CODIGO]]) - SUMIFS(TABLA_CIERRES[CANTIDAD],TABLA_CIERRES[Codigo],Tabla2[[#This Row],[CODIGO]])</f>
        <v>41</v>
      </c>
      <c r="I148" s="37">
        <v>400</v>
      </c>
      <c r="J148" s="38">
        <f>Tabla2[[#This Row],[CANTIDAD CARGADAS]]*Tabla2[[#This Row],[COSTOS]]</f>
        <v>4100</v>
      </c>
    </row>
    <row r="149" spans="1:10" x14ac:dyDescent="0.25">
      <c r="A149" s="34">
        <v>170</v>
      </c>
      <c r="B149" s="35">
        <v>355087917</v>
      </c>
      <c r="C149" s="36" t="s">
        <v>151</v>
      </c>
      <c r="D149" s="35" t="s">
        <v>172</v>
      </c>
      <c r="E149" s="18" t="s">
        <v>178</v>
      </c>
      <c r="F149" s="18">
        <v>26</v>
      </c>
      <c r="G149" s="28">
        <v>100</v>
      </c>
      <c r="H149" s="35">
        <f xml:space="preserve"> SUMIFS(Tabla2[CANTIDAD CARGADAS],Tabla2[CODIGO],Tabla2[[#This Row],[CODIGO]]) - SUMIFS(TABLA_CIERRES[CANTIDAD],TABLA_CIERRES[Codigo],Tabla2[[#This Row],[CODIGO]])</f>
        <v>24</v>
      </c>
      <c r="I149" s="37">
        <v>400</v>
      </c>
      <c r="J149" s="38">
        <f>Tabla2[[#This Row],[CANTIDAD CARGADAS]]*Tabla2[[#This Row],[COSTOS]]</f>
        <v>2600</v>
      </c>
    </row>
    <row r="150" spans="1:10" x14ac:dyDescent="0.25">
      <c r="A150" s="34">
        <v>171</v>
      </c>
      <c r="B150" s="35">
        <v>941477666</v>
      </c>
      <c r="C150" s="36" t="s">
        <v>151</v>
      </c>
      <c r="D150" s="35" t="s">
        <v>172</v>
      </c>
      <c r="E150" s="18" t="s">
        <v>179</v>
      </c>
      <c r="F150" s="18">
        <v>2</v>
      </c>
      <c r="G150" s="28">
        <v>100</v>
      </c>
      <c r="H150" s="35">
        <f xml:space="preserve"> SUMIFS(Tabla2[CANTIDAD CARGADAS],Tabla2[CODIGO],Tabla2[[#This Row],[CODIGO]]) - SUMIFS(TABLA_CIERRES[CANTIDAD],TABLA_CIERRES[Codigo],Tabla2[[#This Row],[CODIGO]])</f>
        <v>2</v>
      </c>
      <c r="I150" s="37">
        <v>400</v>
      </c>
      <c r="J150" s="38">
        <f>Tabla2[[#This Row],[CANTIDAD CARGADAS]]*Tabla2[[#This Row],[COSTOS]]</f>
        <v>200</v>
      </c>
    </row>
    <row r="151" spans="1:10" x14ac:dyDescent="0.25">
      <c r="A151" s="34">
        <v>172</v>
      </c>
      <c r="B151" s="35">
        <v>414439563</v>
      </c>
      <c r="C151" s="36" t="s">
        <v>151</v>
      </c>
      <c r="D151" s="35" t="s">
        <v>172</v>
      </c>
      <c r="E151" s="18" t="s">
        <v>180</v>
      </c>
      <c r="F151" s="18">
        <v>57</v>
      </c>
      <c r="G151" s="28">
        <v>100</v>
      </c>
      <c r="H151" s="35">
        <f xml:space="preserve"> SUMIFS(Tabla2[CANTIDAD CARGADAS],Tabla2[CODIGO],Tabla2[[#This Row],[CODIGO]]) - SUMIFS(TABLA_CIERRES[CANTIDAD],TABLA_CIERRES[Codigo],Tabla2[[#This Row],[CODIGO]])</f>
        <v>55</v>
      </c>
      <c r="I151" s="37">
        <v>400</v>
      </c>
      <c r="J151" s="38">
        <f>Tabla2[[#This Row],[CANTIDAD CARGADAS]]*Tabla2[[#This Row],[COSTOS]]</f>
        <v>5700</v>
      </c>
    </row>
    <row r="152" spans="1:10" x14ac:dyDescent="0.25">
      <c r="A152" s="34">
        <v>173</v>
      </c>
      <c r="B152" s="35">
        <v>513368259</v>
      </c>
      <c r="C152" s="36" t="s">
        <v>151</v>
      </c>
      <c r="D152" s="35" t="s">
        <v>172</v>
      </c>
      <c r="E152" s="18" t="s">
        <v>181</v>
      </c>
      <c r="F152" s="18">
        <v>13</v>
      </c>
      <c r="G152" s="28">
        <v>100</v>
      </c>
      <c r="H152" s="35">
        <f xml:space="preserve"> SUMIFS(Tabla2[CANTIDAD CARGADAS],Tabla2[CODIGO],Tabla2[[#This Row],[CODIGO]]) - SUMIFS(TABLA_CIERRES[CANTIDAD],TABLA_CIERRES[Codigo],Tabla2[[#This Row],[CODIGO]])</f>
        <v>13</v>
      </c>
      <c r="I152" s="37">
        <v>400</v>
      </c>
      <c r="J152" s="38">
        <f>Tabla2[[#This Row],[CANTIDAD CARGADAS]]*Tabla2[[#This Row],[COSTOS]]</f>
        <v>1300</v>
      </c>
    </row>
    <row r="153" spans="1:10" x14ac:dyDescent="0.25">
      <c r="A153" s="34">
        <v>174</v>
      </c>
      <c r="B153" s="35">
        <v>133540648</v>
      </c>
      <c r="C153" s="36" t="s">
        <v>151</v>
      </c>
      <c r="D153" s="35" t="s">
        <v>172</v>
      </c>
      <c r="E153" s="18" t="s">
        <v>181</v>
      </c>
      <c r="F153" s="18">
        <v>10</v>
      </c>
      <c r="G153" s="28">
        <v>100</v>
      </c>
      <c r="H153" s="35">
        <f xml:space="preserve"> SUMIFS(Tabla2[CANTIDAD CARGADAS],Tabla2[CODIGO],Tabla2[[#This Row],[CODIGO]]) - SUMIFS(TABLA_CIERRES[CANTIDAD],TABLA_CIERRES[Codigo],Tabla2[[#This Row],[CODIGO]])</f>
        <v>10</v>
      </c>
      <c r="I153" s="37">
        <v>400</v>
      </c>
      <c r="J153" s="38">
        <f>Tabla2[[#This Row],[CANTIDAD CARGADAS]]*Tabla2[[#This Row],[COSTOS]]</f>
        <v>1000</v>
      </c>
    </row>
    <row r="154" spans="1:10" x14ac:dyDescent="0.25">
      <c r="A154" s="34">
        <v>175</v>
      </c>
      <c r="B154" s="35">
        <v>78903658</v>
      </c>
      <c r="C154" s="36">
        <v>45109</v>
      </c>
      <c r="D154" s="35" t="s">
        <v>182</v>
      </c>
      <c r="E154" s="18" t="s">
        <v>183</v>
      </c>
      <c r="F154" s="18">
        <v>22</v>
      </c>
      <c r="G154" s="28">
        <v>900</v>
      </c>
      <c r="H154" s="35">
        <f xml:space="preserve"> SUMIFS(Tabla2[CANTIDAD CARGADAS],Tabla2[CODIGO],Tabla2[[#This Row],[CODIGO]]) - SUMIFS(TABLA_CIERRES[CANTIDAD],TABLA_CIERRES[Codigo],Tabla2[[#This Row],[CODIGO]])</f>
        <v>19</v>
      </c>
      <c r="I154" s="37">
        <v>1800</v>
      </c>
      <c r="J154" s="38">
        <f>Tabla2[[#This Row],[CANTIDAD CARGADAS]]*Tabla2[[#This Row],[COSTOS]]</f>
        <v>19800</v>
      </c>
    </row>
    <row r="155" spans="1:10" x14ac:dyDescent="0.25">
      <c r="A155" s="34">
        <v>176</v>
      </c>
      <c r="B155" s="35">
        <v>25185545</v>
      </c>
      <c r="C155" s="36">
        <v>44928</v>
      </c>
      <c r="D155" s="35" t="s">
        <v>182</v>
      </c>
      <c r="E155" s="18" t="s">
        <v>184</v>
      </c>
      <c r="F155" s="18">
        <v>4</v>
      </c>
      <c r="G155" s="28">
        <v>300</v>
      </c>
      <c r="H155" s="35">
        <f xml:space="preserve"> SUMIFS(Tabla2[CANTIDAD CARGADAS],Tabla2[CODIGO],Tabla2[[#This Row],[CODIGO]]) - SUMIFS(TABLA_CIERRES[CANTIDAD],TABLA_CIERRES[Codigo],Tabla2[[#This Row],[CODIGO]])</f>
        <v>4</v>
      </c>
      <c r="I155" s="37">
        <v>800</v>
      </c>
      <c r="J155" s="38">
        <f>Tabla2[[#This Row],[CANTIDAD CARGADAS]]*Tabla2[[#This Row],[COSTOS]]</f>
        <v>1200</v>
      </c>
    </row>
    <row r="156" spans="1:10" x14ac:dyDescent="0.25">
      <c r="A156" s="34">
        <v>177</v>
      </c>
      <c r="B156" s="35">
        <v>107822099</v>
      </c>
      <c r="C156" s="36">
        <v>44987</v>
      </c>
      <c r="D156" s="35" t="s">
        <v>182</v>
      </c>
      <c r="E156" s="18" t="s">
        <v>185</v>
      </c>
      <c r="F156" s="18">
        <v>22</v>
      </c>
      <c r="G156" s="28">
        <v>1000</v>
      </c>
      <c r="H156" s="35">
        <f xml:space="preserve"> SUMIFS(Tabla2[CANTIDAD CARGADAS],Tabla2[CODIGO],Tabla2[[#This Row],[CODIGO]]) - SUMIFS(TABLA_CIERRES[CANTIDAD],TABLA_CIERRES[Codigo],Tabla2[[#This Row],[CODIGO]])</f>
        <v>18</v>
      </c>
      <c r="I156" s="37">
        <v>2000</v>
      </c>
      <c r="J156" s="38">
        <f>Tabla2[[#This Row],[CANTIDAD CARGADAS]]*Tabla2[[#This Row],[COSTOS]]</f>
        <v>22000</v>
      </c>
    </row>
    <row r="157" spans="1:10" x14ac:dyDescent="0.25">
      <c r="A157" s="34">
        <v>178</v>
      </c>
      <c r="B157" s="35">
        <v>911951329</v>
      </c>
      <c r="C157" s="36">
        <v>44928</v>
      </c>
      <c r="D157" s="35" t="s">
        <v>182</v>
      </c>
      <c r="E157" s="18" t="s">
        <v>186</v>
      </c>
      <c r="F157" s="18">
        <v>3</v>
      </c>
      <c r="G157" s="28">
        <v>3000</v>
      </c>
      <c r="H157" s="35">
        <f xml:space="preserve"> SUMIFS(Tabla2[CANTIDAD CARGADAS],Tabla2[CODIGO],Tabla2[[#This Row],[CODIGO]]) - SUMIFS(TABLA_CIERRES[CANTIDAD],TABLA_CIERRES[Codigo],Tabla2[[#This Row],[CODIGO]])</f>
        <v>3</v>
      </c>
      <c r="I157" s="37">
        <v>5000</v>
      </c>
      <c r="J157" s="38">
        <f>Tabla2[[#This Row],[CANTIDAD CARGADAS]]*Tabla2[[#This Row],[COSTOS]]</f>
        <v>9000</v>
      </c>
    </row>
    <row r="158" spans="1:10" x14ac:dyDescent="0.25">
      <c r="A158" s="34">
        <v>179</v>
      </c>
      <c r="B158" s="35">
        <v>460651877</v>
      </c>
      <c r="C158" s="36">
        <v>44928</v>
      </c>
      <c r="D158" s="35" t="s">
        <v>182</v>
      </c>
      <c r="E158" s="18" t="s">
        <v>187</v>
      </c>
      <c r="F158" s="18">
        <v>4</v>
      </c>
      <c r="G158" s="28">
        <v>700</v>
      </c>
      <c r="H158" s="35">
        <f xml:space="preserve"> SUMIFS(Tabla2[CANTIDAD CARGADAS],Tabla2[CODIGO],Tabla2[[#This Row],[CODIGO]]) - SUMIFS(TABLA_CIERRES[CANTIDAD],TABLA_CIERRES[Codigo],Tabla2[[#This Row],[CODIGO]])</f>
        <v>3</v>
      </c>
      <c r="I158" s="37">
        <v>1500</v>
      </c>
      <c r="J158" s="38">
        <f>Tabla2[[#This Row],[CANTIDAD CARGADAS]]*Tabla2[[#This Row],[COSTOS]]</f>
        <v>2800</v>
      </c>
    </row>
    <row r="159" spans="1:10" x14ac:dyDescent="0.25">
      <c r="A159" s="34">
        <v>180</v>
      </c>
      <c r="B159" s="35">
        <v>211494657</v>
      </c>
      <c r="C159" s="36">
        <v>44928</v>
      </c>
      <c r="D159" s="35" t="s">
        <v>188</v>
      </c>
      <c r="E159" s="18" t="s">
        <v>189</v>
      </c>
      <c r="F159" s="18">
        <v>9</v>
      </c>
      <c r="G159" s="28">
        <v>400</v>
      </c>
      <c r="H159" s="35">
        <f xml:space="preserve"> SUMIFS(Tabla2[CANTIDAD CARGADAS],Tabla2[CODIGO],Tabla2[[#This Row],[CODIGO]]) - SUMIFS(TABLA_CIERRES[CANTIDAD],TABLA_CIERRES[Codigo],Tabla2[[#This Row],[CODIGO]])</f>
        <v>9</v>
      </c>
      <c r="I159" s="37">
        <v>1200</v>
      </c>
      <c r="J159" s="38">
        <f>Tabla2[[#This Row],[CANTIDAD CARGADAS]]*Tabla2[[#This Row],[COSTOS]]</f>
        <v>3600</v>
      </c>
    </row>
    <row r="160" spans="1:10" x14ac:dyDescent="0.25">
      <c r="A160" s="34">
        <v>181</v>
      </c>
      <c r="B160" s="35">
        <v>171471789</v>
      </c>
      <c r="C160" s="36">
        <v>44928</v>
      </c>
      <c r="D160" s="35" t="s">
        <v>182</v>
      </c>
      <c r="E160" s="18" t="s">
        <v>190</v>
      </c>
      <c r="F160" s="18">
        <v>66</v>
      </c>
      <c r="G160" s="28">
        <v>400</v>
      </c>
      <c r="H160" s="35">
        <f xml:space="preserve"> SUMIFS(Tabla2[CANTIDAD CARGADAS],Tabla2[CODIGO],Tabla2[[#This Row],[CODIGO]]) - SUMIFS(TABLA_CIERRES[CANTIDAD],TABLA_CIERRES[Codigo],Tabla2[[#This Row],[CODIGO]])</f>
        <v>64</v>
      </c>
      <c r="I160" s="37">
        <v>900</v>
      </c>
      <c r="J160" s="38">
        <f>Tabla2[[#This Row],[CANTIDAD CARGADAS]]*Tabla2[[#This Row],[COSTOS]]</f>
        <v>26400</v>
      </c>
    </row>
    <row r="161" spans="1:10" x14ac:dyDescent="0.25">
      <c r="A161" s="34">
        <v>182</v>
      </c>
      <c r="B161" s="35">
        <v>47274028</v>
      </c>
      <c r="C161" s="36">
        <v>44928</v>
      </c>
      <c r="D161" s="35" t="s">
        <v>188</v>
      </c>
      <c r="E161" s="18" t="s">
        <v>191</v>
      </c>
      <c r="F161" s="18">
        <v>1</v>
      </c>
      <c r="G161" s="28">
        <v>600</v>
      </c>
      <c r="H161" s="35">
        <f xml:space="preserve"> SUMIFS(Tabla2[CANTIDAD CARGADAS],Tabla2[CODIGO],Tabla2[[#This Row],[CODIGO]]) - SUMIFS(TABLA_CIERRES[CANTIDAD],TABLA_CIERRES[Codigo],Tabla2[[#This Row],[CODIGO]])</f>
        <v>1</v>
      </c>
      <c r="I161" s="37">
        <v>1200</v>
      </c>
      <c r="J161" s="38">
        <f>Tabla2[[#This Row],[CANTIDAD CARGADAS]]*Tabla2[[#This Row],[COSTOS]]</f>
        <v>600</v>
      </c>
    </row>
    <row r="162" spans="1:10" x14ac:dyDescent="0.25">
      <c r="A162" s="34">
        <v>183</v>
      </c>
      <c r="B162" s="35">
        <v>138067975</v>
      </c>
      <c r="C162" s="36">
        <v>44928</v>
      </c>
      <c r="D162" s="35" t="s">
        <v>182</v>
      </c>
      <c r="E162" s="18" t="s">
        <v>192</v>
      </c>
      <c r="F162" s="18">
        <v>2</v>
      </c>
      <c r="G162" s="28">
        <v>3000</v>
      </c>
      <c r="H162" s="35">
        <f xml:space="preserve"> SUMIFS(Tabla2[CANTIDAD CARGADAS],Tabla2[CODIGO],Tabla2[[#This Row],[CODIGO]]) - SUMIFS(TABLA_CIERRES[CANTIDAD],TABLA_CIERRES[Codigo],Tabla2[[#This Row],[CODIGO]])</f>
        <v>2</v>
      </c>
      <c r="I162" s="37">
        <v>5000</v>
      </c>
      <c r="J162" s="38">
        <f>Tabla2[[#This Row],[CANTIDAD CARGADAS]]*Tabla2[[#This Row],[COSTOS]]</f>
        <v>6000</v>
      </c>
    </row>
    <row r="163" spans="1:10" x14ac:dyDescent="0.25">
      <c r="A163" s="34">
        <v>184</v>
      </c>
      <c r="B163" s="35">
        <v>269600458</v>
      </c>
      <c r="C163" s="36">
        <v>44928</v>
      </c>
      <c r="D163" s="35" t="s">
        <v>182</v>
      </c>
      <c r="E163" s="18" t="s">
        <v>193</v>
      </c>
      <c r="F163" s="18">
        <v>2</v>
      </c>
      <c r="G163" s="28">
        <v>700</v>
      </c>
      <c r="H163" s="35">
        <f xml:space="preserve"> SUMIFS(Tabla2[CANTIDAD CARGADAS],Tabla2[CODIGO],Tabla2[[#This Row],[CODIGO]]) - SUMIFS(TABLA_CIERRES[CANTIDAD],TABLA_CIERRES[Codigo],Tabla2[[#This Row],[CODIGO]])</f>
        <v>1</v>
      </c>
      <c r="I163" s="37">
        <v>1400</v>
      </c>
      <c r="J163" s="38">
        <f>Tabla2[[#This Row],[CANTIDAD CARGADAS]]*Tabla2[[#This Row],[COSTOS]]</f>
        <v>1400</v>
      </c>
    </row>
    <row r="164" spans="1:10" x14ac:dyDescent="0.25">
      <c r="A164" s="34">
        <v>185</v>
      </c>
      <c r="B164" s="35">
        <v>581080793</v>
      </c>
      <c r="C164" s="36">
        <v>45109</v>
      </c>
      <c r="D164" s="35" t="s">
        <v>182</v>
      </c>
      <c r="E164" s="18" t="s">
        <v>194</v>
      </c>
      <c r="F164" s="18">
        <v>5</v>
      </c>
      <c r="G164" s="28">
        <v>750</v>
      </c>
      <c r="H164" s="35">
        <f xml:space="preserve"> SUMIFS(Tabla2[CANTIDAD CARGADAS],Tabla2[CODIGO],Tabla2[[#This Row],[CODIGO]]) - SUMIFS(TABLA_CIERRES[CANTIDAD],TABLA_CIERRES[Codigo],Tabla2[[#This Row],[CODIGO]])</f>
        <v>4</v>
      </c>
      <c r="I164" s="37">
        <v>1400</v>
      </c>
      <c r="J164" s="38">
        <f>Tabla2[[#This Row],[CANTIDAD CARGADAS]]*Tabla2[[#This Row],[COSTOS]]</f>
        <v>3750</v>
      </c>
    </row>
    <row r="165" spans="1:10" x14ac:dyDescent="0.25">
      <c r="A165" s="34">
        <v>186</v>
      </c>
      <c r="B165" s="35">
        <v>331889971</v>
      </c>
      <c r="C165" s="36">
        <v>44928</v>
      </c>
      <c r="D165" s="35" t="s">
        <v>182</v>
      </c>
      <c r="E165" s="18" t="s">
        <v>195</v>
      </c>
      <c r="F165" s="18">
        <v>7</v>
      </c>
      <c r="G165" s="28">
        <v>700</v>
      </c>
      <c r="H165" s="35">
        <f xml:space="preserve"> SUMIFS(Tabla2[CANTIDAD CARGADAS],Tabla2[CODIGO],Tabla2[[#This Row],[CODIGO]]) - SUMIFS(TABLA_CIERRES[CANTIDAD],TABLA_CIERRES[Codigo],Tabla2[[#This Row],[CODIGO]])</f>
        <v>7</v>
      </c>
      <c r="I165" s="37">
        <v>1500</v>
      </c>
      <c r="J165" s="38">
        <f>Tabla2[[#This Row],[CANTIDAD CARGADAS]]*Tabla2[[#This Row],[COSTOS]]</f>
        <v>4900</v>
      </c>
    </row>
    <row r="166" spans="1:10" x14ac:dyDescent="0.25">
      <c r="A166" s="34">
        <v>187</v>
      </c>
      <c r="B166" s="35">
        <v>660998800</v>
      </c>
      <c r="C166" s="36">
        <v>44928</v>
      </c>
      <c r="D166" s="35" t="s">
        <v>188</v>
      </c>
      <c r="E166" s="18" t="s">
        <v>196</v>
      </c>
      <c r="F166" s="18">
        <v>12</v>
      </c>
      <c r="G166" s="28">
        <v>200</v>
      </c>
      <c r="H166" s="35">
        <f xml:space="preserve"> SUMIFS(Tabla2[CANTIDAD CARGADAS],Tabla2[CODIGO],Tabla2[[#This Row],[CODIGO]]) - SUMIFS(TABLA_CIERRES[CANTIDAD],TABLA_CIERRES[Codigo],Tabla2[[#This Row],[CODIGO]])</f>
        <v>7</v>
      </c>
      <c r="I166" s="37">
        <v>700</v>
      </c>
      <c r="J166" s="38">
        <f>Tabla2[[#This Row],[CANTIDAD CARGADAS]]*Tabla2[[#This Row],[COSTOS]]</f>
        <v>2400</v>
      </c>
    </row>
    <row r="167" spans="1:10" x14ac:dyDescent="0.25">
      <c r="A167" s="34">
        <v>188</v>
      </c>
      <c r="B167" s="35">
        <v>133540647</v>
      </c>
      <c r="C167" s="36">
        <v>44928</v>
      </c>
      <c r="D167" s="35" t="s">
        <v>188</v>
      </c>
      <c r="E167" s="18" t="s">
        <v>197</v>
      </c>
      <c r="F167" s="18">
        <v>30</v>
      </c>
      <c r="G167" s="28">
        <v>400</v>
      </c>
      <c r="H167" s="35">
        <f xml:space="preserve"> SUMIFS(Tabla2[CANTIDAD CARGADAS],Tabla2[CODIGO],Tabla2[[#This Row],[CODIGO]]) - SUMIFS(TABLA_CIERRES[CANTIDAD],TABLA_CIERRES[Codigo],Tabla2[[#This Row],[CODIGO]])</f>
        <v>29</v>
      </c>
      <c r="I167" s="37">
        <v>900</v>
      </c>
      <c r="J167" s="38">
        <f>Tabla2[[#This Row],[CANTIDAD CARGADAS]]*Tabla2[[#This Row],[COSTOS]]</f>
        <v>12000</v>
      </c>
    </row>
    <row r="168" spans="1:10" x14ac:dyDescent="0.25">
      <c r="A168" s="34">
        <v>189</v>
      </c>
      <c r="B168" s="35">
        <v>436003537</v>
      </c>
      <c r="C168" s="36">
        <v>44928</v>
      </c>
      <c r="D168" s="35" t="s">
        <v>188</v>
      </c>
      <c r="E168" s="18" t="s">
        <v>198</v>
      </c>
      <c r="F168" s="18">
        <v>1</v>
      </c>
      <c r="G168" s="28">
        <v>600</v>
      </c>
      <c r="H168" s="35">
        <f xml:space="preserve"> SUMIFS(Tabla2[CANTIDAD CARGADAS],Tabla2[CODIGO],Tabla2[[#This Row],[CODIGO]]) - SUMIFS(TABLA_CIERRES[CANTIDAD],TABLA_CIERRES[Codigo],Tabla2[[#This Row],[CODIGO]])</f>
        <v>0</v>
      </c>
      <c r="I168" s="37">
        <v>1200</v>
      </c>
      <c r="J168" s="38">
        <f>Tabla2[[#This Row],[CANTIDAD CARGADAS]]*Tabla2[[#This Row],[COSTOS]]</f>
        <v>600</v>
      </c>
    </row>
    <row r="169" spans="1:10" x14ac:dyDescent="0.25">
      <c r="A169" s="34">
        <v>190</v>
      </c>
      <c r="B169" s="35">
        <v>154326100</v>
      </c>
      <c r="C169" s="36">
        <v>44928</v>
      </c>
      <c r="D169" s="35" t="s">
        <v>188</v>
      </c>
      <c r="E169" s="18" t="s">
        <v>199</v>
      </c>
      <c r="F169" s="18">
        <v>42</v>
      </c>
      <c r="G169" s="28">
        <v>200</v>
      </c>
      <c r="H169" s="35">
        <f xml:space="preserve"> SUMIFS(Tabla2[CANTIDAD CARGADAS],Tabla2[CODIGO],Tabla2[[#This Row],[CODIGO]]) - SUMIFS(TABLA_CIERRES[CANTIDAD],TABLA_CIERRES[Codigo],Tabla2[[#This Row],[CODIGO]])</f>
        <v>41</v>
      </c>
      <c r="I169" s="37">
        <v>700</v>
      </c>
      <c r="J169" s="38">
        <f>Tabla2[[#This Row],[CANTIDAD CARGADAS]]*Tabla2[[#This Row],[COSTOS]]</f>
        <v>8400</v>
      </c>
    </row>
    <row r="170" spans="1:10" x14ac:dyDescent="0.25">
      <c r="A170" s="34">
        <v>191</v>
      </c>
      <c r="B170" s="35">
        <v>275789327</v>
      </c>
      <c r="C170" s="36">
        <v>44928</v>
      </c>
      <c r="D170" s="35" t="s">
        <v>188</v>
      </c>
      <c r="E170" s="18" t="s">
        <v>200</v>
      </c>
      <c r="F170" s="18">
        <v>5</v>
      </c>
      <c r="G170" s="28">
        <v>500</v>
      </c>
      <c r="H170" s="35">
        <f xml:space="preserve"> SUMIFS(Tabla2[CANTIDAD CARGADAS],Tabla2[CODIGO],Tabla2[[#This Row],[CODIGO]]) - SUMIFS(TABLA_CIERRES[CANTIDAD],TABLA_CIERRES[Codigo],Tabla2[[#This Row],[CODIGO]])</f>
        <v>5</v>
      </c>
      <c r="I170" s="37">
        <v>1200</v>
      </c>
      <c r="J170" s="38">
        <f>Tabla2[[#This Row],[CANTIDAD CARGADAS]]*Tabla2[[#This Row],[COSTOS]]</f>
        <v>2500</v>
      </c>
    </row>
    <row r="171" spans="1:10" x14ac:dyDescent="0.25">
      <c r="A171" s="34">
        <v>192</v>
      </c>
      <c r="B171" s="35">
        <v>513368258</v>
      </c>
      <c r="C171" s="36">
        <v>44928</v>
      </c>
      <c r="D171" s="35" t="s">
        <v>202</v>
      </c>
      <c r="E171" s="18" t="s">
        <v>201</v>
      </c>
      <c r="F171" s="18">
        <v>22</v>
      </c>
      <c r="G171" s="28">
        <v>150</v>
      </c>
      <c r="H171" s="35">
        <f xml:space="preserve"> SUMIFS(Tabla2[CANTIDAD CARGADAS],Tabla2[CODIGO],Tabla2[[#This Row],[CODIGO]]) - SUMIFS(TABLA_CIERRES[CANTIDAD],TABLA_CIERRES[Codigo],Tabla2[[#This Row],[CODIGO]])</f>
        <v>22</v>
      </c>
      <c r="I171" s="37">
        <v>500</v>
      </c>
      <c r="J171" s="38">
        <f>Tabla2[[#This Row],[CANTIDAD CARGADAS]]*Tabla2[[#This Row],[COSTOS]]</f>
        <v>3300</v>
      </c>
    </row>
    <row r="172" spans="1:10" x14ac:dyDescent="0.25">
      <c r="A172" s="34">
        <v>193</v>
      </c>
      <c r="B172" s="35">
        <v>20487912</v>
      </c>
      <c r="C172" s="36">
        <v>44928</v>
      </c>
      <c r="D172" s="35" t="s">
        <v>202</v>
      </c>
      <c r="E172" s="18" t="s">
        <v>203</v>
      </c>
      <c r="F172" s="18">
        <v>14</v>
      </c>
      <c r="G172" s="28">
        <v>250</v>
      </c>
      <c r="H172" s="35">
        <f xml:space="preserve"> SUMIFS(Tabla2[CANTIDAD CARGADAS],Tabla2[CODIGO],Tabla2[[#This Row],[CODIGO]]) - SUMIFS(TABLA_CIERRES[CANTIDAD],TABLA_CIERRES[Codigo],Tabla2[[#This Row],[CODIGO]])</f>
        <v>11</v>
      </c>
      <c r="I172" s="37">
        <v>500</v>
      </c>
      <c r="J172" s="38">
        <f>Tabla2[[#This Row],[CANTIDAD CARGADAS]]*Tabla2[[#This Row],[COSTOS]]</f>
        <v>3500</v>
      </c>
    </row>
    <row r="173" spans="1:10" x14ac:dyDescent="0.25">
      <c r="A173" s="34">
        <v>194</v>
      </c>
      <c r="B173" s="35">
        <v>941477665</v>
      </c>
      <c r="C173" s="36">
        <v>44928</v>
      </c>
      <c r="D173" s="35" t="s">
        <v>202</v>
      </c>
      <c r="E173" s="18" t="s">
        <v>204</v>
      </c>
      <c r="F173" s="18">
        <v>12</v>
      </c>
      <c r="G173" s="28">
        <v>500</v>
      </c>
      <c r="H173" s="35">
        <f xml:space="preserve"> SUMIFS(Tabla2[CANTIDAD CARGADAS],Tabla2[CODIGO],Tabla2[[#This Row],[CODIGO]]) - SUMIFS(TABLA_CIERRES[CANTIDAD],TABLA_CIERRES[Codigo],Tabla2[[#This Row],[CODIGO]])</f>
        <v>12</v>
      </c>
      <c r="I173" s="37">
        <v>1000</v>
      </c>
      <c r="J173" s="38">
        <f>Tabla2[[#This Row],[CANTIDAD CARGADAS]]*Tabla2[[#This Row],[COSTOS]]</f>
        <v>6000</v>
      </c>
    </row>
    <row r="174" spans="1:10" x14ac:dyDescent="0.25">
      <c r="A174" s="34">
        <v>195</v>
      </c>
      <c r="B174" s="35">
        <v>414439562</v>
      </c>
      <c r="C174" s="36">
        <v>44928</v>
      </c>
      <c r="D174" s="35" t="s">
        <v>202</v>
      </c>
      <c r="E174" s="18" t="s">
        <v>205</v>
      </c>
      <c r="F174" s="18">
        <v>2</v>
      </c>
      <c r="G174" s="28">
        <v>1100</v>
      </c>
      <c r="H174" s="35">
        <f xml:space="preserve"> SUMIFS(Tabla2[CANTIDAD CARGADAS],Tabla2[CODIGO],Tabla2[[#This Row],[CODIGO]]) - SUMIFS(TABLA_CIERRES[CANTIDAD],TABLA_CIERRES[Codigo],Tabla2[[#This Row],[CODIGO]])</f>
        <v>2</v>
      </c>
      <c r="I174" s="37">
        <v>2500</v>
      </c>
      <c r="J174" s="38">
        <f>Tabla2[[#This Row],[CANTIDAD CARGADAS]]*Tabla2[[#This Row],[COSTOS]]</f>
        <v>2200</v>
      </c>
    </row>
    <row r="175" spans="1:10" x14ac:dyDescent="0.25">
      <c r="A175" s="34">
        <v>196</v>
      </c>
      <c r="B175" s="35">
        <v>300663515</v>
      </c>
      <c r="C175" s="36">
        <v>44928</v>
      </c>
      <c r="D175" s="35" t="s">
        <v>210</v>
      </c>
      <c r="E175" s="18" t="s">
        <v>206</v>
      </c>
      <c r="F175" s="18">
        <v>17</v>
      </c>
      <c r="G175" s="28">
        <v>100</v>
      </c>
      <c r="H175" s="35">
        <f xml:space="preserve"> SUMIFS(Tabla2[CANTIDAD CARGADAS],Tabla2[CODIGO],Tabla2[[#This Row],[CODIGO]]) - SUMIFS(TABLA_CIERRES[CANTIDAD],TABLA_CIERRES[Codigo],Tabla2[[#This Row],[CODIGO]])</f>
        <v>17</v>
      </c>
      <c r="I175" s="37">
        <v>500</v>
      </c>
      <c r="J175" s="38">
        <f>Tabla2[[#This Row],[CANTIDAD CARGADAS]]*Tabla2[[#This Row],[COSTOS]]</f>
        <v>1700</v>
      </c>
    </row>
    <row r="176" spans="1:10" x14ac:dyDescent="0.25">
      <c r="A176" s="34">
        <v>197</v>
      </c>
      <c r="B176" s="35">
        <v>137449578</v>
      </c>
      <c r="C176" s="36">
        <v>44987</v>
      </c>
      <c r="D176" s="35" t="s">
        <v>210</v>
      </c>
      <c r="E176" s="18" t="s">
        <v>207</v>
      </c>
      <c r="F176" s="18">
        <v>1</v>
      </c>
      <c r="G176" s="28">
        <v>400</v>
      </c>
      <c r="H176" s="35">
        <f xml:space="preserve"> SUMIFS(Tabla2[CANTIDAD CARGADAS],Tabla2[CODIGO],Tabla2[[#This Row],[CODIGO]]) - SUMIFS(TABLA_CIERRES[CANTIDAD],TABLA_CIERRES[Codigo],Tabla2[[#This Row],[CODIGO]])</f>
        <v>0</v>
      </c>
      <c r="I176" s="37">
        <v>700</v>
      </c>
      <c r="J176" s="38">
        <f>Tabla2[[#This Row],[CANTIDAD CARGADAS]]*Tabla2[[#This Row],[COSTOS]]</f>
        <v>400</v>
      </c>
    </row>
    <row r="177" spans="1:10" x14ac:dyDescent="0.25">
      <c r="A177" s="34">
        <v>198</v>
      </c>
      <c r="B177" s="35">
        <v>355087916</v>
      </c>
      <c r="C177" s="36">
        <v>44928</v>
      </c>
      <c r="D177" s="35" t="s">
        <v>210</v>
      </c>
      <c r="E177" s="18" t="s">
        <v>208</v>
      </c>
      <c r="F177" s="18">
        <v>5</v>
      </c>
      <c r="G177" s="28">
        <v>400</v>
      </c>
      <c r="H177" s="35">
        <f xml:space="preserve"> SUMIFS(Tabla2[CANTIDAD CARGADAS],Tabla2[CODIGO],Tabla2[[#This Row],[CODIGO]]) - SUMIFS(TABLA_CIERRES[CANTIDAD],TABLA_CIERRES[Codigo],Tabla2[[#This Row],[CODIGO]])</f>
        <v>5</v>
      </c>
      <c r="I177" s="37">
        <v>700</v>
      </c>
      <c r="J177" s="38">
        <f>Tabla2[[#This Row],[CANTIDAD CARGADAS]]*Tabla2[[#This Row],[COSTOS]]</f>
        <v>2000</v>
      </c>
    </row>
    <row r="178" spans="1:10" x14ac:dyDescent="0.25">
      <c r="A178" s="34">
        <v>199</v>
      </c>
      <c r="B178" s="35">
        <v>300663516</v>
      </c>
      <c r="C178" s="36">
        <v>44928</v>
      </c>
      <c r="D178" s="35" t="s">
        <v>210</v>
      </c>
      <c r="E178" s="18" t="s">
        <v>209</v>
      </c>
      <c r="F178" s="18">
        <v>5</v>
      </c>
      <c r="G178" s="28">
        <v>500</v>
      </c>
      <c r="H178" s="35">
        <f xml:space="preserve"> SUMIFS(Tabla2[CANTIDAD CARGADAS],Tabla2[CODIGO],Tabla2[[#This Row],[CODIGO]]) - SUMIFS(TABLA_CIERRES[CANTIDAD],TABLA_CIERRES[Codigo],Tabla2[[#This Row],[CODIGO]])</f>
        <v>5</v>
      </c>
      <c r="I178" s="37">
        <v>1200</v>
      </c>
      <c r="J178" s="38">
        <f>Tabla2[[#This Row],[CANTIDAD CARGADAS]]*Tabla2[[#This Row],[COSTOS]]</f>
        <v>2500</v>
      </c>
    </row>
    <row r="179" spans="1:10" x14ac:dyDescent="0.25">
      <c r="A179" s="34">
        <v>200</v>
      </c>
      <c r="B179" s="35">
        <v>47274029</v>
      </c>
      <c r="C179" s="36">
        <v>44928</v>
      </c>
      <c r="D179" s="35" t="s">
        <v>172</v>
      </c>
      <c r="E179" s="18" t="s">
        <v>211</v>
      </c>
      <c r="F179" s="18">
        <v>26</v>
      </c>
      <c r="G179" s="28">
        <v>150</v>
      </c>
      <c r="H179" s="35">
        <f xml:space="preserve"> SUMIFS(Tabla2[CANTIDAD CARGADAS],Tabla2[CODIGO],Tabla2[[#This Row],[CODIGO]]) - SUMIFS(TABLA_CIERRES[CANTIDAD],TABLA_CIERRES[Codigo],Tabla2[[#This Row],[CODIGO]])</f>
        <v>25</v>
      </c>
      <c r="I179" s="37">
        <v>400</v>
      </c>
      <c r="J179" s="38">
        <f>Tabla2[[#This Row],[CANTIDAD CARGADAS]]*Tabla2[[#This Row],[COSTOS]]</f>
        <v>3900</v>
      </c>
    </row>
    <row r="180" spans="1:10" x14ac:dyDescent="0.25">
      <c r="A180" s="34">
        <v>201</v>
      </c>
      <c r="B180" s="35">
        <v>342974415</v>
      </c>
      <c r="C180" s="36">
        <v>45201</v>
      </c>
      <c r="D180" s="35" t="s">
        <v>172</v>
      </c>
      <c r="E180" s="18" t="s">
        <v>212</v>
      </c>
      <c r="F180" s="18">
        <v>28</v>
      </c>
      <c r="G180" s="28">
        <v>150</v>
      </c>
      <c r="H180" s="35">
        <f xml:space="preserve"> SUMIFS(Tabla2[CANTIDAD CARGADAS],Tabla2[CODIGO],Tabla2[[#This Row],[CODIGO]]) - SUMIFS(TABLA_CIERRES[CANTIDAD],TABLA_CIERRES[Codigo],Tabla2[[#This Row],[CODIGO]])</f>
        <v>28</v>
      </c>
      <c r="I180" s="37">
        <v>400</v>
      </c>
      <c r="J180" s="38">
        <f>Tabla2[[#This Row],[CANTIDAD CARGADAS]]*Tabla2[[#This Row],[COSTOS]]</f>
        <v>4200</v>
      </c>
    </row>
    <row r="181" spans="1:10" x14ac:dyDescent="0.25">
      <c r="A181" s="34">
        <v>202</v>
      </c>
      <c r="B181" s="35">
        <v>828831463</v>
      </c>
      <c r="C181" s="36">
        <v>44928</v>
      </c>
      <c r="D181" s="35" t="s">
        <v>210</v>
      </c>
      <c r="E181" s="18" t="s">
        <v>213</v>
      </c>
      <c r="F181" s="18">
        <v>5</v>
      </c>
      <c r="G181" s="28">
        <v>400</v>
      </c>
      <c r="H181" s="35">
        <f xml:space="preserve"> SUMIFS(Tabla2[CANTIDAD CARGADAS],Tabla2[CODIGO],Tabla2[[#This Row],[CODIGO]]) - SUMIFS(TABLA_CIERRES[CANTIDAD],TABLA_CIERRES[Codigo],Tabla2[[#This Row],[CODIGO]])</f>
        <v>4</v>
      </c>
      <c r="I181" s="37">
        <v>900</v>
      </c>
      <c r="J181" s="38">
        <f>Tabla2[[#This Row],[CANTIDAD CARGADAS]]*Tabla2[[#This Row],[COSTOS]]</f>
        <v>2000</v>
      </c>
    </row>
    <row r="182" spans="1:10" x14ac:dyDescent="0.25">
      <c r="A182" s="34">
        <v>203</v>
      </c>
      <c r="B182" s="35">
        <v>425996573</v>
      </c>
      <c r="C182" s="36">
        <v>44928</v>
      </c>
      <c r="D182" s="35" t="s">
        <v>210</v>
      </c>
      <c r="E182" s="18" t="s">
        <v>214</v>
      </c>
      <c r="F182" s="18">
        <v>6</v>
      </c>
      <c r="G182" s="28">
        <v>400</v>
      </c>
      <c r="H182" s="35">
        <f xml:space="preserve"> SUMIFS(Tabla2[CANTIDAD CARGADAS],Tabla2[CODIGO],Tabla2[[#This Row],[CODIGO]]) - SUMIFS(TABLA_CIERRES[CANTIDAD],TABLA_CIERRES[Codigo],Tabla2[[#This Row],[CODIGO]])</f>
        <v>6</v>
      </c>
      <c r="I182" s="37">
        <v>800</v>
      </c>
      <c r="J182" s="38">
        <f>Tabla2[[#This Row],[CANTIDAD CARGADAS]]*Tabla2[[#This Row],[COSTOS]]</f>
        <v>2400</v>
      </c>
    </row>
    <row r="183" spans="1:10" x14ac:dyDescent="0.25">
      <c r="A183" s="34">
        <v>204</v>
      </c>
      <c r="B183" s="35">
        <v>238104446</v>
      </c>
      <c r="C183" s="36">
        <v>45140</v>
      </c>
      <c r="D183" s="35" t="s">
        <v>210</v>
      </c>
      <c r="E183" s="18" t="s">
        <v>215</v>
      </c>
      <c r="F183" s="18">
        <v>6</v>
      </c>
      <c r="G183" s="28">
        <v>2000</v>
      </c>
      <c r="H183" s="35">
        <f xml:space="preserve"> SUMIFS(Tabla2[CANTIDAD CARGADAS],Tabla2[CODIGO],Tabla2[[#This Row],[CODIGO]]) - SUMIFS(TABLA_CIERRES[CANTIDAD],TABLA_CIERRES[Codigo],Tabla2[[#This Row],[CODIGO]])</f>
        <v>5</v>
      </c>
      <c r="I183" s="37">
        <v>4800</v>
      </c>
      <c r="J183" s="38">
        <f>Tabla2[[#This Row],[CANTIDAD CARGADAS]]*Tabla2[[#This Row],[COSTOS]]</f>
        <v>12000</v>
      </c>
    </row>
    <row r="184" spans="1:10" x14ac:dyDescent="0.25">
      <c r="A184" s="34">
        <v>205</v>
      </c>
      <c r="B184" s="35">
        <v>944823342</v>
      </c>
      <c r="C184" s="36">
        <v>45140</v>
      </c>
      <c r="D184" s="35" t="s">
        <v>210</v>
      </c>
      <c r="E184" s="18" t="s">
        <v>469</v>
      </c>
      <c r="F184" s="18">
        <v>10</v>
      </c>
      <c r="G184" s="28">
        <v>1900</v>
      </c>
      <c r="H184" s="35">
        <f xml:space="preserve"> SUMIFS(Tabla2[CANTIDAD CARGADAS],Tabla2[CODIGO],Tabla2[[#This Row],[CODIGO]]) - SUMIFS(TABLA_CIERRES[CANTIDAD],TABLA_CIERRES[Codigo],Tabla2[[#This Row],[CODIGO]])</f>
        <v>10</v>
      </c>
      <c r="I184" s="37">
        <v>4200</v>
      </c>
      <c r="J184" s="38">
        <f>Tabla2[[#This Row],[CANTIDAD CARGADAS]]*Tabla2[[#This Row],[COSTOS]]</f>
        <v>19000</v>
      </c>
    </row>
    <row r="185" spans="1:10" x14ac:dyDescent="0.25">
      <c r="A185" s="34">
        <v>206</v>
      </c>
      <c r="B185" s="35">
        <v>171737136</v>
      </c>
      <c r="C185" s="36">
        <v>44928</v>
      </c>
      <c r="D185" s="35" t="s">
        <v>219</v>
      </c>
      <c r="E185" s="18" t="s">
        <v>217</v>
      </c>
      <c r="F185" s="18">
        <v>7</v>
      </c>
      <c r="G185" s="28">
        <v>600</v>
      </c>
      <c r="H185" s="35">
        <f xml:space="preserve"> SUMIFS(Tabla2[CANTIDAD CARGADAS],Tabla2[CODIGO],Tabla2[[#This Row],[CODIGO]]) - SUMIFS(TABLA_CIERRES[CANTIDAD],TABLA_CIERRES[Codigo],Tabla2[[#This Row],[CODIGO]])</f>
        <v>7</v>
      </c>
      <c r="I185" s="37">
        <v>1000</v>
      </c>
      <c r="J185" s="38">
        <f>Tabla2[[#This Row],[CANTIDAD CARGADAS]]*Tabla2[[#This Row],[COSTOS]]</f>
        <v>4200</v>
      </c>
    </row>
    <row r="186" spans="1:10" x14ac:dyDescent="0.25">
      <c r="A186" s="34">
        <v>207</v>
      </c>
      <c r="B186" s="35">
        <v>518909235</v>
      </c>
      <c r="C186" s="36">
        <v>44928</v>
      </c>
      <c r="D186" s="35" t="s">
        <v>219</v>
      </c>
      <c r="E186" s="18" t="s">
        <v>218</v>
      </c>
      <c r="F186" s="18">
        <v>1</v>
      </c>
      <c r="G186" s="28">
        <v>600</v>
      </c>
      <c r="H186" s="35">
        <f xml:space="preserve"> SUMIFS(Tabla2[CANTIDAD CARGADAS],Tabla2[CODIGO],Tabla2[[#This Row],[CODIGO]]) - SUMIFS(TABLA_CIERRES[CANTIDAD],TABLA_CIERRES[Codigo],Tabla2[[#This Row],[CODIGO]])</f>
        <v>1</v>
      </c>
      <c r="I186" s="37">
        <v>1800</v>
      </c>
      <c r="J186" s="38">
        <f>Tabla2[[#This Row],[CANTIDAD CARGADAS]]*Tabla2[[#This Row],[COSTOS]]</f>
        <v>600</v>
      </c>
    </row>
    <row r="187" spans="1:10" x14ac:dyDescent="0.25">
      <c r="A187" s="34">
        <v>208</v>
      </c>
      <c r="B187" s="35">
        <v>171340857</v>
      </c>
      <c r="C187" s="36">
        <v>44928</v>
      </c>
      <c r="D187" s="35" t="s">
        <v>219</v>
      </c>
      <c r="E187" s="18" t="s">
        <v>220</v>
      </c>
      <c r="F187" s="18">
        <v>8</v>
      </c>
      <c r="G187" s="28">
        <v>800</v>
      </c>
      <c r="H187" s="35">
        <f xml:space="preserve"> SUMIFS(Tabla2[CANTIDAD CARGADAS],Tabla2[CODIGO],Tabla2[[#This Row],[CODIGO]]) - SUMIFS(TABLA_CIERRES[CANTIDAD],TABLA_CIERRES[Codigo],Tabla2[[#This Row],[CODIGO]])</f>
        <v>8</v>
      </c>
      <c r="I187" s="37">
        <v>1800</v>
      </c>
      <c r="J187" s="38">
        <f>Tabla2[[#This Row],[CANTIDAD CARGADAS]]*Tabla2[[#This Row],[COSTOS]]</f>
        <v>6400</v>
      </c>
    </row>
    <row r="188" spans="1:10" x14ac:dyDescent="0.25">
      <c r="A188" s="34">
        <v>209</v>
      </c>
      <c r="B188" s="35">
        <v>518909234</v>
      </c>
      <c r="C188" s="36">
        <v>44928</v>
      </c>
      <c r="D188" s="35" t="s">
        <v>219</v>
      </c>
      <c r="E188" s="18" t="s">
        <v>221</v>
      </c>
      <c r="F188" s="18">
        <v>1</v>
      </c>
      <c r="G188" s="28">
        <v>400</v>
      </c>
      <c r="H188" s="35">
        <f xml:space="preserve"> SUMIFS(Tabla2[CANTIDAD CARGADAS],Tabla2[CODIGO],Tabla2[[#This Row],[CODIGO]]) - SUMIFS(TABLA_CIERRES[CANTIDAD],TABLA_CIERRES[Codigo],Tabla2[[#This Row],[CODIGO]])</f>
        <v>1</v>
      </c>
      <c r="I188" s="37">
        <v>900</v>
      </c>
      <c r="J188" s="38">
        <f>Tabla2[[#This Row],[CANTIDAD CARGADAS]]*Tabla2[[#This Row],[COSTOS]]</f>
        <v>400</v>
      </c>
    </row>
    <row r="189" spans="1:10" x14ac:dyDescent="0.25">
      <c r="A189" s="34">
        <v>210</v>
      </c>
      <c r="B189" s="35">
        <v>425996574</v>
      </c>
      <c r="C189" s="36">
        <v>44928</v>
      </c>
      <c r="D189" s="35" t="s">
        <v>219</v>
      </c>
      <c r="E189" s="18" t="s">
        <v>222</v>
      </c>
      <c r="F189" s="18">
        <v>20</v>
      </c>
      <c r="G189" s="28">
        <v>100</v>
      </c>
      <c r="H189" s="35">
        <f xml:space="preserve"> SUMIFS(Tabla2[CANTIDAD CARGADAS],Tabla2[CODIGO],Tabla2[[#This Row],[CODIGO]]) - SUMIFS(TABLA_CIERRES[CANTIDAD],TABLA_CIERRES[Codigo],Tabla2[[#This Row],[CODIGO]])</f>
        <v>20</v>
      </c>
      <c r="I189" s="37">
        <v>200</v>
      </c>
      <c r="J189" s="38">
        <f>Tabla2[[#This Row],[CANTIDAD CARGADAS]]*Tabla2[[#This Row],[COSTOS]]</f>
        <v>2000</v>
      </c>
    </row>
    <row r="190" spans="1:10" x14ac:dyDescent="0.25">
      <c r="A190" s="34">
        <v>211</v>
      </c>
      <c r="B190" s="35">
        <v>713758875</v>
      </c>
      <c r="C190" s="36">
        <v>44928</v>
      </c>
      <c r="D190" s="35" t="s">
        <v>219</v>
      </c>
      <c r="E190" s="18" t="s">
        <v>223</v>
      </c>
      <c r="F190" s="18">
        <v>9</v>
      </c>
      <c r="G190" s="28">
        <v>200</v>
      </c>
      <c r="H190" s="35">
        <f xml:space="preserve"> SUMIFS(Tabla2[CANTIDAD CARGADAS],Tabla2[CODIGO],Tabla2[[#This Row],[CODIGO]]) - SUMIFS(TABLA_CIERRES[CANTIDAD],TABLA_CIERRES[Codigo],Tabla2[[#This Row],[CODIGO]])</f>
        <v>9</v>
      </c>
      <c r="I190" s="37">
        <v>100</v>
      </c>
      <c r="J190" s="38">
        <f>Tabla2[[#This Row],[CANTIDAD CARGADAS]]*Tabla2[[#This Row],[COSTOS]]</f>
        <v>1800</v>
      </c>
    </row>
    <row r="191" spans="1:10" x14ac:dyDescent="0.25">
      <c r="A191" s="34">
        <v>212</v>
      </c>
      <c r="B191" s="35">
        <v>977203815</v>
      </c>
      <c r="C191" s="36">
        <v>44928</v>
      </c>
      <c r="D191" s="35" t="s">
        <v>219</v>
      </c>
      <c r="E191" s="18" t="s">
        <v>224</v>
      </c>
      <c r="F191" s="18">
        <v>11</v>
      </c>
      <c r="G191" s="28">
        <v>100</v>
      </c>
      <c r="H191" s="35">
        <f xml:space="preserve"> SUMIFS(Tabla2[CANTIDAD CARGADAS],Tabla2[CODIGO],Tabla2[[#This Row],[CODIGO]]) - SUMIFS(TABLA_CIERRES[CANTIDAD],TABLA_CIERRES[Codigo],Tabla2[[#This Row],[CODIGO]])</f>
        <v>11</v>
      </c>
      <c r="I191" s="37">
        <v>180</v>
      </c>
      <c r="J191" s="38">
        <f>Tabla2[[#This Row],[CANTIDAD CARGADAS]]*Tabla2[[#This Row],[COSTOS]]</f>
        <v>1100</v>
      </c>
    </row>
    <row r="192" spans="1:10" x14ac:dyDescent="0.25">
      <c r="A192" s="34">
        <v>213</v>
      </c>
      <c r="B192" s="35">
        <v>796088154</v>
      </c>
      <c r="C192" s="36">
        <v>44928</v>
      </c>
      <c r="D192" s="35" t="s">
        <v>219</v>
      </c>
      <c r="E192" s="18" t="s">
        <v>225</v>
      </c>
      <c r="F192" s="18">
        <v>45</v>
      </c>
      <c r="G192" s="28">
        <v>50</v>
      </c>
      <c r="H192" s="35">
        <f xml:space="preserve"> SUMIFS(Tabla2[CANTIDAD CARGADAS],Tabla2[CODIGO],Tabla2[[#This Row],[CODIGO]]) - SUMIFS(TABLA_CIERRES[CANTIDAD],TABLA_CIERRES[Codigo],Tabla2[[#This Row],[CODIGO]])</f>
        <v>45</v>
      </c>
      <c r="I192" s="37">
        <v>150</v>
      </c>
      <c r="J192" s="38">
        <f>Tabla2[[#This Row],[CANTIDAD CARGADAS]]*Tabla2[[#This Row],[COSTOS]]</f>
        <v>2250</v>
      </c>
    </row>
    <row r="193" spans="1:10" x14ac:dyDescent="0.25">
      <c r="A193" s="34">
        <v>214</v>
      </c>
      <c r="B193" s="35">
        <v>137449577</v>
      </c>
      <c r="C193" s="36">
        <v>44928</v>
      </c>
      <c r="D193" s="35" t="s">
        <v>219</v>
      </c>
      <c r="E193" s="18" t="s">
        <v>226</v>
      </c>
      <c r="F193" s="18">
        <v>2</v>
      </c>
      <c r="G193" s="28">
        <v>200</v>
      </c>
      <c r="H193" s="35">
        <f xml:space="preserve"> SUMIFS(Tabla2[CANTIDAD CARGADAS],Tabla2[CODIGO],Tabla2[[#This Row],[CODIGO]]) - SUMIFS(TABLA_CIERRES[CANTIDAD],TABLA_CIERRES[Codigo],Tabla2[[#This Row],[CODIGO]])</f>
        <v>2</v>
      </c>
      <c r="I193" s="37">
        <v>550</v>
      </c>
      <c r="J193" s="38">
        <f>Tabla2[[#This Row],[CANTIDAD CARGADAS]]*Tabla2[[#This Row],[COSTOS]]</f>
        <v>400</v>
      </c>
    </row>
    <row r="194" spans="1:10" x14ac:dyDescent="0.25">
      <c r="A194" s="34">
        <v>215</v>
      </c>
      <c r="B194" s="35">
        <v>200260896</v>
      </c>
      <c r="C194" s="36">
        <v>44928</v>
      </c>
      <c r="D194" s="35" t="s">
        <v>210</v>
      </c>
      <c r="E194" s="18" t="s">
        <v>227</v>
      </c>
      <c r="F194" s="18">
        <v>24</v>
      </c>
      <c r="G194" s="28">
        <v>400</v>
      </c>
      <c r="H194" s="35">
        <f xml:space="preserve"> SUMIFS(Tabla2[CANTIDAD CARGADAS],Tabla2[CODIGO],Tabla2[[#This Row],[CODIGO]]) - SUMIFS(TABLA_CIERRES[CANTIDAD],TABLA_CIERRES[Codigo],Tabla2[[#This Row],[CODIGO]])</f>
        <v>24</v>
      </c>
      <c r="I194" s="37">
        <v>800</v>
      </c>
      <c r="J194" s="38">
        <f>Tabla2[[#This Row],[CANTIDAD CARGADAS]]*Tabla2[[#This Row],[COSTOS]]</f>
        <v>9600</v>
      </c>
    </row>
    <row r="195" spans="1:10" x14ac:dyDescent="0.25">
      <c r="A195" s="34">
        <v>216</v>
      </c>
      <c r="B195" s="35">
        <v>434922741</v>
      </c>
      <c r="C195" s="36">
        <v>44928</v>
      </c>
      <c r="D195" s="35" t="s">
        <v>26</v>
      </c>
      <c r="E195" s="18" t="s">
        <v>228</v>
      </c>
      <c r="F195" s="18">
        <v>8</v>
      </c>
      <c r="G195" s="28">
        <v>400</v>
      </c>
      <c r="H195" s="35">
        <f xml:space="preserve"> SUMIFS(Tabla2[CANTIDAD CARGADAS],Tabla2[CODIGO],Tabla2[[#This Row],[CODIGO]]) - SUMIFS(TABLA_CIERRES[CANTIDAD],TABLA_CIERRES[Codigo],Tabla2[[#This Row],[CODIGO]])</f>
        <v>8</v>
      </c>
      <c r="I195" s="37">
        <v>1000</v>
      </c>
      <c r="J195" s="38">
        <f>Tabla2[[#This Row],[CANTIDAD CARGADAS]]*Tabla2[[#This Row],[COSTOS]]</f>
        <v>3200</v>
      </c>
    </row>
    <row r="196" spans="1:10" x14ac:dyDescent="0.25">
      <c r="A196" s="34">
        <v>217</v>
      </c>
      <c r="B196" s="35">
        <v>554180812</v>
      </c>
      <c r="C196" s="36">
        <v>44928</v>
      </c>
      <c r="D196" s="35" t="s">
        <v>26</v>
      </c>
      <c r="E196" s="18" t="s">
        <v>229</v>
      </c>
      <c r="F196" s="18">
        <v>4</v>
      </c>
      <c r="G196" s="28">
        <v>600</v>
      </c>
      <c r="H196" s="35">
        <f xml:space="preserve"> SUMIFS(Tabla2[CANTIDAD CARGADAS],Tabla2[CODIGO],Tabla2[[#This Row],[CODIGO]]) - SUMIFS(TABLA_CIERRES[CANTIDAD],TABLA_CIERRES[Codigo],Tabla2[[#This Row],[CODIGO]])</f>
        <v>8</v>
      </c>
      <c r="I196" s="37">
        <v>1400</v>
      </c>
      <c r="J196" s="38">
        <f>Tabla2[[#This Row],[CANTIDAD CARGADAS]]*Tabla2[[#This Row],[COSTOS]]</f>
        <v>2400</v>
      </c>
    </row>
    <row r="197" spans="1:10" x14ac:dyDescent="0.25">
      <c r="A197" s="34">
        <v>218</v>
      </c>
      <c r="B197" s="35">
        <v>54491922</v>
      </c>
      <c r="C197" s="36">
        <v>44928</v>
      </c>
      <c r="D197" s="35" t="s">
        <v>26</v>
      </c>
      <c r="E197" s="18" t="s">
        <v>288</v>
      </c>
      <c r="F197" s="18">
        <v>1</v>
      </c>
      <c r="G197" s="28">
        <v>600</v>
      </c>
      <c r="H197" s="35">
        <f xml:space="preserve"> SUMIFS(Tabla2[CANTIDAD CARGADAS],Tabla2[CODIGO],Tabla2[[#This Row],[CODIGO]]) - SUMIFS(TABLA_CIERRES[CANTIDAD],TABLA_CIERRES[Codigo],Tabla2[[#This Row],[CODIGO]])</f>
        <v>1</v>
      </c>
      <c r="I197" s="37">
        <v>1400</v>
      </c>
      <c r="J197" s="38">
        <f>Tabla2[[#This Row],[CANTIDAD CARGADAS]]*Tabla2[[#This Row],[COSTOS]]</f>
        <v>600</v>
      </c>
    </row>
    <row r="198" spans="1:10" x14ac:dyDescent="0.25">
      <c r="A198" s="34">
        <v>219</v>
      </c>
      <c r="B198" s="35">
        <v>118309194</v>
      </c>
      <c r="C198" s="36">
        <v>44928</v>
      </c>
      <c r="D198" s="35" t="s">
        <v>172</v>
      </c>
      <c r="E198" s="18" t="s">
        <v>264</v>
      </c>
      <c r="F198" s="18">
        <v>7</v>
      </c>
      <c r="G198" s="28">
        <v>100</v>
      </c>
      <c r="H198" s="35">
        <f xml:space="preserve"> SUMIFS(Tabla2[CANTIDAD CARGADAS],Tabla2[CODIGO],Tabla2[[#This Row],[CODIGO]]) - SUMIFS(TABLA_CIERRES[CANTIDAD],TABLA_CIERRES[Codigo],Tabla2[[#This Row],[CODIGO]])</f>
        <v>6</v>
      </c>
      <c r="I198" s="37">
        <v>400</v>
      </c>
      <c r="J198" s="38">
        <f>Tabla2[[#This Row],[CANTIDAD CARGADAS]]*Tabla2[[#This Row],[COSTOS]]</f>
        <v>700</v>
      </c>
    </row>
    <row r="199" spans="1:10" x14ac:dyDescent="0.25">
      <c r="A199" s="34">
        <v>220</v>
      </c>
      <c r="B199" s="35">
        <v>25755622</v>
      </c>
      <c r="C199" s="36">
        <v>44928</v>
      </c>
      <c r="D199" s="35" t="s">
        <v>26</v>
      </c>
      <c r="E199" s="18" t="s">
        <v>231</v>
      </c>
      <c r="F199" s="18">
        <v>18</v>
      </c>
      <c r="G199" s="28">
        <v>400</v>
      </c>
      <c r="H199" s="35">
        <f xml:space="preserve"> SUMIFS(Tabla2[CANTIDAD CARGADAS],Tabla2[CODIGO],Tabla2[[#This Row],[CODIGO]]) - SUMIFS(TABLA_CIERRES[CANTIDAD],TABLA_CIERRES[Codigo],Tabla2[[#This Row],[CODIGO]])</f>
        <v>17</v>
      </c>
      <c r="I199" s="37">
        <v>1000</v>
      </c>
      <c r="J199" s="38">
        <f>Tabla2[[#This Row],[CANTIDAD CARGADAS]]*Tabla2[[#This Row],[COSTOS]]</f>
        <v>7200</v>
      </c>
    </row>
    <row r="200" spans="1:10" x14ac:dyDescent="0.25">
      <c r="A200" s="34">
        <v>221</v>
      </c>
      <c r="B200" s="35">
        <v>727779862</v>
      </c>
      <c r="C200" s="36">
        <v>44928</v>
      </c>
      <c r="D200" s="35" t="s">
        <v>172</v>
      </c>
      <c r="E200" s="18" t="s">
        <v>232</v>
      </c>
      <c r="F200" s="18">
        <v>4</v>
      </c>
      <c r="G200" s="28">
        <v>600</v>
      </c>
      <c r="H200" s="35">
        <f xml:space="preserve"> SUMIFS(Tabla2[CANTIDAD CARGADAS],Tabla2[CODIGO],Tabla2[[#This Row],[CODIGO]]) - SUMIFS(TABLA_CIERRES[CANTIDAD],TABLA_CIERRES[Codigo],Tabla2[[#This Row],[CODIGO]])</f>
        <v>4</v>
      </c>
      <c r="I200" s="37">
        <v>1400</v>
      </c>
      <c r="J200" s="38">
        <f>Tabla2[[#This Row],[CANTIDAD CARGADAS]]*Tabla2[[#This Row],[COSTOS]]</f>
        <v>2400</v>
      </c>
    </row>
    <row r="201" spans="1:10" x14ac:dyDescent="0.25">
      <c r="A201" s="34">
        <v>222</v>
      </c>
      <c r="B201" s="35">
        <v>181205846</v>
      </c>
      <c r="C201" s="36">
        <v>44928</v>
      </c>
      <c r="D201" s="35" t="s">
        <v>172</v>
      </c>
      <c r="E201" s="18" t="s">
        <v>233</v>
      </c>
      <c r="F201" s="18">
        <v>10</v>
      </c>
      <c r="G201" s="28">
        <v>200</v>
      </c>
      <c r="H201" s="35">
        <f xml:space="preserve"> SUMIFS(Tabla2[CANTIDAD CARGADAS],Tabla2[CODIGO],Tabla2[[#This Row],[CODIGO]]) - SUMIFS(TABLA_CIERRES[CANTIDAD],TABLA_CIERRES[Codigo],Tabla2[[#This Row],[CODIGO]])</f>
        <v>10</v>
      </c>
      <c r="I201" s="37">
        <v>600</v>
      </c>
      <c r="J201" s="38">
        <f>Tabla2[[#This Row],[CANTIDAD CARGADAS]]*Tabla2[[#This Row],[COSTOS]]</f>
        <v>2000</v>
      </c>
    </row>
    <row r="202" spans="1:10" x14ac:dyDescent="0.25">
      <c r="A202" s="34">
        <v>223</v>
      </c>
      <c r="B202" s="35">
        <v>357534850</v>
      </c>
      <c r="C202" s="36">
        <v>44928</v>
      </c>
      <c r="D202" s="35" t="s">
        <v>182</v>
      </c>
      <c r="E202" s="18" t="s">
        <v>234</v>
      </c>
      <c r="F202" s="18">
        <v>7</v>
      </c>
      <c r="G202" s="28">
        <v>400</v>
      </c>
      <c r="H202" s="35">
        <f xml:space="preserve"> SUMIFS(Tabla2[CANTIDAD CARGADAS],Tabla2[CODIGO],Tabla2[[#This Row],[CODIGO]]) - SUMIFS(TABLA_CIERRES[CANTIDAD],TABLA_CIERRES[Codigo],Tabla2[[#This Row],[CODIGO]])</f>
        <v>0</v>
      </c>
      <c r="I202" s="37">
        <v>800</v>
      </c>
      <c r="J202" s="38">
        <f>Tabla2[[#This Row],[CANTIDAD CARGADAS]]*Tabla2[[#This Row],[COSTOS]]</f>
        <v>2800</v>
      </c>
    </row>
    <row r="203" spans="1:10" x14ac:dyDescent="0.25">
      <c r="A203" s="34">
        <v>224</v>
      </c>
      <c r="B203" s="35">
        <v>842658325</v>
      </c>
      <c r="C203" s="36">
        <v>44928</v>
      </c>
      <c r="D203" s="35" t="s">
        <v>26</v>
      </c>
      <c r="E203" s="18" t="s">
        <v>235</v>
      </c>
      <c r="F203" s="18">
        <v>12</v>
      </c>
      <c r="G203" s="28">
        <v>400</v>
      </c>
      <c r="H203" s="35">
        <f xml:space="preserve"> SUMIFS(Tabla2[CANTIDAD CARGADAS],Tabla2[CODIGO],Tabla2[[#This Row],[CODIGO]]) - SUMIFS(TABLA_CIERRES[CANTIDAD],TABLA_CIERRES[Codigo],Tabla2[[#This Row],[CODIGO]])</f>
        <v>11</v>
      </c>
      <c r="I203" s="37">
        <v>1000</v>
      </c>
      <c r="J203" s="38">
        <f>Tabla2[[#This Row],[CANTIDAD CARGADAS]]*Tabla2[[#This Row],[COSTOS]]</f>
        <v>4800</v>
      </c>
    </row>
    <row r="204" spans="1:10" x14ac:dyDescent="0.25">
      <c r="A204" s="34">
        <v>225</v>
      </c>
      <c r="B204" s="35">
        <v>826857388</v>
      </c>
      <c r="C204" s="36">
        <v>44928</v>
      </c>
      <c r="D204" s="35" t="s">
        <v>26</v>
      </c>
      <c r="E204" s="18" t="s">
        <v>236</v>
      </c>
      <c r="F204" s="18">
        <v>1</v>
      </c>
      <c r="G204" s="28">
        <v>600</v>
      </c>
      <c r="H204" s="35">
        <f xml:space="preserve"> SUMIFS(Tabla2[CANTIDAD CARGADAS],Tabla2[CODIGO],Tabla2[[#This Row],[CODIGO]]) - SUMIFS(TABLA_CIERRES[CANTIDAD],TABLA_CIERRES[Codigo],Tabla2[[#This Row],[CODIGO]])</f>
        <v>1</v>
      </c>
      <c r="I204" s="37">
        <v>1400</v>
      </c>
      <c r="J204" s="38">
        <f>Tabla2[[#This Row],[CANTIDAD CARGADAS]]*Tabla2[[#This Row],[COSTOS]]</f>
        <v>600</v>
      </c>
    </row>
    <row r="205" spans="1:10" x14ac:dyDescent="0.25">
      <c r="A205" s="34">
        <v>226</v>
      </c>
      <c r="B205" s="35">
        <v>159464562</v>
      </c>
      <c r="C205" s="36">
        <v>44928</v>
      </c>
      <c r="D205" s="35" t="s">
        <v>26</v>
      </c>
      <c r="E205" s="18" t="s">
        <v>237</v>
      </c>
      <c r="F205" s="18">
        <v>4</v>
      </c>
      <c r="G205" s="28">
        <v>200</v>
      </c>
      <c r="H205" s="35">
        <f xml:space="preserve"> SUMIFS(Tabla2[CANTIDAD CARGADAS],Tabla2[CODIGO],Tabla2[[#This Row],[CODIGO]]) - SUMIFS(TABLA_CIERRES[CANTIDAD],TABLA_CIERRES[Codigo],Tabla2[[#This Row],[CODIGO]])</f>
        <v>4</v>
      </c>
      <c r="I205" s="37">
        <v>600</v>
      </c>
      <c r="J205" s="38">
        <f>Tabla2[[#This Row],[CANTIDAD CARGADAS]]*Tabla2[[#This Row],[COSTOS]]</f>
        <v>800</v>
      </c>
    </row>
    <row r="206" spans="1:10" x14ac:dyDescent="0.25">
      <c r="A206" s="34">
        <v>227</v>
      </c>
      <c r="B206" s="35">
        <v>153884774</v>
      </c>
      <c r="C206" s="36">
        <v>44928</v>
      </c>
      <c r="D206" s="35" t="s">
        <v>26</v>
      </c>
      <c r="E206" s="18" t="s">
        <v>238</v>
      </c>
      <c r="F206" s="18">
        <v>5</v>
      </c>
      <c r="G206" s="28">
        <v>400</v>
      </c>
      <c r="H206" s="35">
        <f xml:space="preserve"> SUMIFS(Tabla2[CANTIDAD CARGADAS],Tabla2[CODIGO],Tabla2[[#This Row],[CODIGO]]) - SUMIFS(TABLA_CIERRES[CANTIDAD],TABLA_CIERRES[Codigo],Tabla2[[#This Row],[CODIGO]])</f>
        <v>7</v>
      </c>
      <c r="I206" s="37">
        <v>1000</v>
      </c>
      <c r="J206" s="38">
        <f>Tabla2[[#This Row],[CANTIDAD CARGADAS]]*Tabla2[[#This Row],[COSTOS]]</f>
        <v>2000</v>
      </c>
    </row>
    <row r="207" spans="1:10" x14ac:dyDescent="0.25">
      <c r="A207" s="34">
        <v>228</v>
      </c>
      <c r="B207" s="35">
        <v>549089024</v>
      </c>
      <c r="C207" s="36">
        <v>44928</v>
      </c>
      <c r="D207" s="35" t="s">
        <v>26</v>
      </c>
      <c r="E207" s="18" t="s">
        <v>239</v>
      </c>
      <c r="F207" s="18">
        <v>3</v>
      </c>
      <c r="G207" s="28">
        <v>600</v>
      </c>
      <c r="H207" s="35">
        <f xml:space="preserve"> SUMIFS(Tabla2[CANTIDAD CARGADAS],Tabla2[CODIGO],Tabla2[[#This Row],[CODIGO]]) - SUMIFS(TABLA_CIERRES[CANTIDAD],TABLA_CIERRES[Codigo],Tabla2[[#This Row],[CODIGO]])</f>
        <v>3</v>
      </c>
      <c r="I207" s="37">
        <v>1400</v>
      </c>
      <c r="J207" s="38">
        <f>Tabla2[[#This Row],[CANTIDAD CARGADAS]]*Tabla2[[#This Row],[COSTOS]]</f>
        <v>1800</v>
      </c>
    </row>
    <row r="208" spans="1:10" x14ac:dyDescent="0.25">
      <c r="A208" s="34">
        <v>229</v>
      </c>
      <c r="B208" s="35">
        <v>620506906</v>
      </c>
      <c r="C208" s="36">
        <v>44928</v>
      </c>
      <c r="D208" s="35" t="s">
        <v>26</v>
      </c>
      <c r="E208" s="18" t="s">
        <v>240</v>
      </c>
      <c r="F208" s="18">
        <v>1</v>
      </c>
      <c r="G208" s="28">
        <v>600</v>
      </c>
      <c r="H208" s="35">
        <f xml:space="preserve"> SUMIFS(Tabla2[CANTIDAD CARGADAS],Tabla2[CODIGO],Tabla2[[#This Row],[CODIGO]]) - SUMIFS(TABLA_CIERRES[CANTIDAD],TABLA_CIERRES[Codigo],Tabla2[[#This Row],[CODIGO]])</f>
        <v>1</v>
      </c>
      <c r="I208" s="37">
        <v>1400</v>
      </c>
      <c r="J208" s="38">
        <f>Tabla2[[#This Row],[CANTIDAD CARGADAS]]*Tabla2[[#This Row],[COSTOS]]</f>
        <v>600</v>
      </c>
    </row>
    <row r="209" spans="1:10" x14ac:dyDescent="0.25">
      <c r="A209" s="34">
        <v>230</v>
      </c>
      <c r="B209" s="35">
        <v>620506905</v>
      </c>
      <c r="C209" s="36">
        <v>44928</v>
      </c>
      <c r="D209" s="35" t="s">
        <v>26</v>
      </c>
      <c r="E209" s="18" t="s">
        <v>241</v>
      </c>
      <c r="F209" s="18">
        <v>3</v>
      </c>
      <c r="G209" s="28">
        <v>400</v>
      </c>
      <c r="H209" s="35">
        <f xml:space="preserve"> SUMIFS(Tabla2[CANTIDAD CARGADAS],Tabla2[CODIGO],Tabla2[[#This Row],[CODIGO]]) - SUMIFS(TABLA_CIERRES[CANTIDAD],TABLA_CIERRES[Codigo],Tabla2[[#This Row],[CODIGO]])</f>
        <v>3</v>
      </c>
      <c r="I209" s="37">
        <v>1000</v>
      </c>
      <c r="J209" s="38">
        <f>Tabla2[[#This Row],[CANTIDAD CARGADAS]]*Tabla2[[#This Row],[COSTOS]]</f>
        <v>1200</v>
      </c>
    </row>
    <row r="210" spans="1:10" x14ac:dyDescent="0.25">
      <c r="A210" s="34">
        <v>231</v>
      </c>
      <c r="B210" s="35">
        <v>153884774</v>
      </c>
      <c r="C210" s="36">
        <v>44928</v>
      </c>
      <c r="D210" s="35" t="s">
        <v>26</v>
      </c>
      <c r="E210" s="18" t="s">
        <v>242</v>
      </c>
      <c r="F210" s="18">
        <v>2</v>
      </c>
      <c r="G210" s="28">
        <v>400</v>
      </c>
      <c r="H210" s="35">
        <f xml:space="preserve"> SUMIFS(Tabla2[CANTIDAD CARGADAS],Tabla2[CODIGO],Tabla2[[#This Row],[CODIGO]]) - SUMIFS(TABLA_CIERRES[CANTIDAD],TABLA_CIERRES[Codigo],Tabla2[[#This Row],[CODIGO]])</f>
        <v>7</v>
      </c>
      <c r="I210" s="37">
        <v>1000</v>
      </c>
      <c r="J210" s="38">
        <f>Tabla2[[#This Row],[CANTIDAD CARGADAS]]*Tabla2[[#This Row],[COSTOS]]</f>
        <v>800</v>
      </c>
    </row>
    <row r="211" spans="1:10" x14ac:dyDescent="0.25">
      <c r="A211" s="34">
        <v>232</v>
      </c>
      <c r="B211" s="35">
        <v>772745665</v>
      </c>
      <c r="C211" s="36">
        <v>44928</v>
      </c>
      <c r="D211" s="35" t="s">
        <v>26</v>
      </c>
      <c r="E211" s="18" t="s">
        <v>243</v>
      </c>
      <c r="F211" s="18">
        <v>11</v>
      </c>
      <c r="G211" s="28">
        <v>400</v>
      </c>
      <c r="H211" s="35">
        <f xml:space="preserve"> SUMIFS(Tabla2[CANTIDAD CARGADAS],Tabla2[CODIGO],Tabla2[[#This Row],[CODIGO]]) - SUMIFS(TABLA_CIERRES[CANTIDAD],TABLA_CIERRES[Codigo],Tabla2[[#This Row],[CODIGO]])</f>
        <v>11</v>
      </c>
      <c r="I211" s="37">
        <v>1000</v>
      </c>
      <c r="J211" s="38">
        <f>Tabla2[[#This Row],[CANTIDAD CARGADAS]]*Tabla2[[#This Row],[COSTOS]]</f>
        <v>4400</v>
      </c>
    </row>
    <row r="212" spans="1:10" x14ac:dyDescent="0.25">
      <c r="A212" s="34">
        <v>233</v>
      </c>
      <c r="B212" s="35">
        <v>836116043</v>
      </c>
      <c r="C212" s="36">
        <v>44928</v>
      </c>
      <c r="D212" s="35" t="s">
        <v>26</v>
      </c>
      <c r="E212" s="18" t="s">
        <v>244</v>
      </c>
      <c r="F212" s="18">
        <v>3</v>
      </c>
      <c r="G212" s="28">
        <v>200</v>
      </c>
      <c r="H212" s="35">
        <f xml:space="preserve"> SUMIFS(Tabla2[CANTIDAD CARGADAS],Tabla2[CODIGO],Tabla2[[#This Row],[CODIGO]]) - SUMIFS(TABLA_CIERRES[CANTIDAD],TABLA_CIERRES[Codigo],Tabla2[[#This Row],[CODIGO]])</f>
        <v>3</v>
      </c>
      <c r="I212" s="37">
        <v>600</v>
      </c>
      <c r="J212" s="38">
        <f>Tabla2[[#This Row],[CANTIDAD CARGADAS]]*Tabla2[[#This Row],[COSTOS]]</f>
        <v>600</v>
      </c>
    </row>
    <row r="213" spans="1:10" x14ac:dyDescent="0.25">
      <c r="A213" s="34">
        <v>234</v>
      </c>
      <c r="B213" s="35">
        <v>193008158</v>
      </c>
      <c r="C213" s="36">
        <v>44928</v>
      </c>
      <c r="D213" s="35" t="s">
        <v>26</v>
      </c>
      <c r="E213" s="18" t="s">
        <v>245</v>
      </c>
      <c r="F213" s="18">
        <v>24</v>
      </c>
      <c r="G213" s="28">
        <v>400</v>
      </c>
      <c r="H213" s="35">
        <f xml:space="preserve"> SUMIFS(Tabla2[CANTIDAD CARGADAS],Tabla2[CODIGO],Tabla2[[#This Row],[CODIGO]]) - SUMIFS(TABLA_CIERRES[CANTIDAD],TABLA_CIERRES[Codigo],Tabla2[[#This Row],[CODIGO]])</f>
        <v>24</v>
      </c>
      <c r="I213" s="37">
        <v>1000</v>
      </c>
      <c r="J213" s="38">
        <f>Tabla2[[#This Row],[CANTIDAD CARGADAS]]*Tabla2[[#This Row],[COSTOS]]</f>
        <v>9600</v>
      </c>
    </row>
    <row r="214" spans="1:10" x14ac:dyDescent="0.25">
      <c r="A214" s="34">
        <v>235</v>
      </c>
      <c r="B214" s="35">
        <v>925758781</v>
      </c>
      <c r="C214" s="36">
        <v>44928</v>
      </c>
      <c r="D214" s="35" t="s">
        <v>26</v>
      </c>
      <c r="E214" s="18" t="s">
        <v>246</v>
      </c>
      <c r="F214" s="18">
        <v>4</v>
      </c>
      <c r="G214" s="28">
        <v>200</v>
      </c>
      <c r="H214" s="35">
        <f xml:space="preserve"> SUMIFS(Tabla2[CANTIDAD CARGADAS],Tabla2[CODIGO],Tabla2[[#This Row],[CODIGO]]) - SUMIFS(TABLA_CIERRES[CANTIDAD],TABLA_CIERRES[Codigo],Tabla2[[#This Row],[CODIGO]])</f>
        <v>4</v>
      </c>
      <c r="I214" s="37">
        <v>600</v>
      </c>
      <c r="J214" s="38">
        <f>Tabla2[[#This Row],[CANTIDAD CARGADAS]]*Tabla2[[#This Row],[COSTOS]]</f>
        <v>800</v>
      </c>
    </row>
    <row r="215" spans="1:10" x14ac:dyDescent="0.25">
      <c r="A215" s="34">
        <v>236</v>
      </c>
      <c r="B215" s="35">
        <v>466307990</v>
      </c>
      <c r="C215" s="36">
        <v>44928</v>
      </c>
      <c r="D215" s="35" t="s">
        <v>26</v>
      </c>
      <c r="E215" s="18" t="s">
        <v>247</v>
      </c>
      <c r="F215" s="18">
        <v>3</v>
      </c>
      <c r="G215" s="28">
        <v>200</v>
      </c>
      <c r="H215" s="35">
        <f xml:space="preserve"> SUMIFS(Tabla2[CANTIDAD CARGADAS],Tabla2[CODIGO],Tabla2[[#This Row],[CODIGO]]) - SUMIFS(TABLA_CIERRES[CANTIDAD],TABLA_CIERRES[Codigo],Tabla2[[#This Row],[CODIGO]])</f>
        <v>3</v>
      </c>
      <c r="I215" s="37">
        <v>600</v>
      </c>
      <c r="J215" s="38">
        <f>Tabla2[[#This Row],[CANTIDAD CARGADAS]]*Tabla2[[#This Row],[COSTOS]]</f>
        <v>600</v>
      </c>
    </row>
    <row r="216" spans="1:10" x14ac:dyDescent="0.25">
      <c r="A216" s="34">
        <v>237</v>
      </c>
      <c r="B216" s="35">
        <v>305738524</v>
      </c>
      <c r="C216" s="36">
        <v>44928</v>
      </c>
      <c r="D216" s="35" t="s">
        <v>26</v>
      </c>
      <c r="E216" s="18" t="s">
        <v>248</v>
      </c>
      <c r="F216" s="18">
        <v>19</v>
      </c>
      <c r="G216" s="28">
        <v>400</v>
      </c>
      <c r="H216" s="35">
        <f xml:space="preserve"> SUMIFS(Tabla2[CANTIDAD CARGADAS],Tabla2[CODIGO],Tabla2[[#This Row],[CODIGO]]) - SUMIFS(TABLA_CIERRES[CANTIDAD],TABLA_CIERRES[Codigo],Tabla2[[#This Row],[CODIGO]])</f>
        <v>19</v>
      </c>
      <c r="I216" s="37">
        <v>1000</v>
      </c>
      <c r="J216" s="38">
        <f>Tabla2[[#This Row],[CANTIDAD CARGADAS]]*Tabla2[[#This Row],[COSTOS]]</f>
        <v>7600</v>
      </c>
    </row>
    <row r="217" spans="1:10" x14ac:dyDescent="0.25">
      <c r="A217" s="34">
        <v>238</v>
      </c>
      <c r="B217" s="35">
        <v>17729614</v>
      </c>
      <c r="C217" s="36">
        <v>44928</v>
      </c>
      <c r="D217" s="35" t="s">
        <v>26</v>
      </c>
      <c r="E217" s="18" t="s">
        <v>249</v>
      </c>
      <c r="F217" s="18">
        <v>11</v>
      </c>
      <c r="G217" s="28">
        <v>400</v>
      </c>
      <c r="H217" s="35">
        <f xml:space="preserve"> SUMIFS(Tabla2[CANTIDAD CARGADAS],Tabla2[CODIGO],Tabla2[[#This Row],[CODIGO]]) - SUMIFS(TABLA_CIERRES[CANTIDAD],TABLA_CIERRES[Codigo],Tabla2[[#This Row],[CODIGO]])</f>
        <v>11</v>
      </c>
      <c r="I217" s="37">
        <v>1000</v>
      </c>
      <c r="J217" s="38">
        <f>Tabla2[[#This Row],[CANTIDAD CARGADAS]]*Tabla2[[#This Row],[COSTOS]]</f>
        <v>4400</v>
      </c>
    </row>
    <row r="218" spans="1:10" x14ac:dyDescent="0.25">
      <c r="A218" s="34">
        <v>239</v>
      </c>
      <c r="B218" s="35">
        <v>888939328</v>
      </c>
      <c r="C218" s="36">
        <v>44928</v>
      </c>
      <c r="D218" s="35" t="s">
        <v>26</v>
      </c>
      <c r="E218" s="18" t="s">
        <v>250</v>
      </c>
      <c r="F218" s="18">
        <v>4</v>
      </c>
      <c r="G218" s="28">
        <v>200</v>
      </c>
      <c r="H218" s="35">
        <f xml:space="preserve"> SUMIFS(Tabla2[CANTIDAD CARGADAS],Tabla2[CODIGO],Tabla2[[#This Row],[CODIGO]]) - SUMIFS(TABLA_CIERRES[CANTIDAD],TABLA_CIERRES[Codigo],Tabla2[[#This Row],[CODIGO]])</f>
        <v>4</v>
      </c>
      <c r="I218" s="37">
        <v>600</v>
      </c>
      <c r="J218" s="38">
        <f>Tabla2[[#This Row],[CANTIDAD CARGADAS]]*Tabla2[[#This Row],[COSTOS]]</f>
        <v>800</v>
      </c>
    </row>
    <row r="219" spans="1:10" x14ac:dyDescent="0.25">
      <c r="A219" s="34">
        <v>240</v>
      </c>
      <c r="B219" s="35">
        <v>906308738</v>
      </c>
      <c r="C219" s="36">
        <v>44928</v>
      </c>
      <c r="D219" s="35" t="s">
        <v>26</v>
      </c>
      <c r="E219" s="18" t="s">
        <v>251</v>
      </c>
      <c r="F219" s="18">
        <v>12</v>
      </c>
      <c r="G219" s="28">
        <v>400</v>
      </c>
      <c r="H219" s="35">
        <f xml:space="preserve"> SUMIFS(Tabla2[CANTIDAD CARGADAS],Tabla2[CODIGO],Tabla2[[#This Row],[CODIGO]]) - SUMIFS(TABLA_CIERRES[CANTIDAD],TABLA_CIERRES[Codigo],Tabla2[[#This Row],[CODIGO]])</f>
        <v>12</v>
      </c>
      <c r="I219" s="37">
        <v>1000</v>
      </c>
      <c r="J219" s="38">
        <f>Tabla2[[#This Row],[CANTIDAD CARGADAS]]*Tabla2[[#This Row],[COSTOS]]</f>
        <v>4800</v>
      </c>
    </row>
    <row r="220" spans="1:10" x14ac:dyDescent="0.25">
      <c r="A220" s="34">
        <v>241</v>
      </c>
      <c r="B220" s="35">
        <v>739935611</v>
      </c>
      <c r="C220" s="36">
        <v>44928</v>
      </c>
      <c r="D220" s="35" t="s">
        <v>26</v>
      </c>
      <c r="E220" s="18" t="s">
        <v>252</v>
      </c>
      <c r="F220" s="18">
        <v>26</v>
      </c>
      <c r="G220" s="28">
        <v>400</v>
      </c>
      <c r="H220" s="35">
        <f xml:space="preserve"> SUMIFS(Tabla2[CANTIDAD CARGADAS],Tabla2[CODIGO],Tabla2[[#This Row],[CODIGO]]) - SUMIFS(TABLA_CIERRES[CANTIDAD],TABLA_CIERRES[Codigo],Tabla2[[#This Row],[CODIGO]])</f>
        <v>25</v>
      </c>
      <c r="I220" s="37">
        <v>1000</v>
      </c>
      <c r="J220" s="38">
        <f>Tabla2[[#This Row],[CANTIDAD CARGADAS]]*Tabla2[[#This Row],[COSTOS]]</f>
        <v>10400</v>
      </c>
    </row>
    <row r="221" spans="1:10" x14ac:dyDescent="0.25">
      <c r="A221" s="34">
        <v>242</v>
      </c>
      <c r="B221" s="35">
        <v>194667494</v>
      </c>
      <c r="C221" s="36">
        <v>44928</v>
      </c>
      <c r="D221" s="35" t="s">
        <v>26</v>
      </c>
      <c r="E221" s="18" t="s">
        <v>253</v>
      </c>
      <c r="F221" s="18">
        <v>14</v>
      </c>
      <c r="G221" s="28">
        <v>400</v>
      </c>
      <c r="H221" s="35">
        <f xml:space="preserve"> SUMIFS(Tabla2[CANTIDAD CARGADAS],Tabla2[CODIGO],Tabla2[[#This Row],[CODIGO]]) - SUMIFS(TABLA_CIERRES[CANTIDAD],TABLA_CIERRES[Codigo],Tabla2[[#This Row],[CODIGO]])</f>
        <v>13</v>
      </c>
      <c r="I221" s="37">
        <v>1000</v>
      </c>
      <c r="J221" s="38">
        <f>Tabla2[[#This Row],[CANTIDAD CARGADAS]]*Tabla2[[#This Row],[COSTOS]]</f>
        <v>5600</v>
      </c>
    </row>
    <row r="222" spans="1:10" x14ac:dyDescent="0.25">
      <c r="A222" s="34">
        <v>243</v>
      </c>
      <c r="B222" s="35">
        <v>833221323</v>
      </c>
      <c r="C222" s="36">
        <v>44928</v>
      </c>
      <c r="D222" s="35" t="s">
        <v>26</v>
      </c>
      <c r="E222" s="18" t="s">
        <v>254</v>
      </c>
      <c r="F222" s="18">
        <v>5</v>
      </c>
      <c r="G222" s="28">
        <v>200</v>
      </c>
      <c r="H222" s="35">
        <f xml:space="preserve"> SUMIFS(Tabla2[CANTIDAD CARGADAS],Tabla2[CODIGO],Tabla2[[#This Row],[CODIGO]]) - SUMIFS(TABLA_CIERRES[CANTIDAD],TABLA_CIERRES[Codigo],Tabla2[[#This Row],[CODIGO]])</f>
        <v>4</v>
      </c>
      <c r="I222" s="37">
        <v>600</v>
      </c>
      <c r="J222" s="38">
        <f>Tabla2[[#This Row],[CANTIDAD CARGADAS]]*Tabla2[[#This Row],[COSTOS]]</f>
        <v>1000</v>
      </c>
    </row>
    <row r="223" spans="1:10" x14ac:dyDescent="0.25">
      <c r="A223" s="34">
        <v>244</v>
      </c>
      <c r="B223" s="35">
        <v>613172637</v>
      </c>
      <c r="C223" s="36">
        <v>44928</v>
      </c>
      <c r="D223" s="35" t="s">
        <v>26</v>
      </c>
      <c r="E223" s="18" t="s">
        <v>256</v>
      </c>
      <c r="F223" s="18">
        <v>10</v>
      </c>
      <c r="G223" s="28">
        <v>400</v>
      </c>
      <c r="H223" s="35">
        <f xml:space="preserve"> SUMIFS(Tabla2[CANTIDAD CARGADAS],Tabla2[CODIGO],Tabla2[[#This Row],[CODIGO]]) - SUMIFS(TABLA_CIERRES[CANTIDAD],TABLA_CIERRES[Codigo],Tabla2[[#This Row],[CODIGO]])</f>
        <v>10</v>
      </c>
      <c r="I223" s="37">
        <v>1000</v>
      </c>
      <c r="J223" s="38">
        <f>Tabla2[[#This Row],[CANTIDAD CARGADAS]]*Tabla2[[#This Row],[COSTOS]]</f>
        <v>4000</v>
      </c>
    </row>
    <row r="224" spans="1:10" x14ac:dyDescent="0.25">
      <c r="A224" s="34">
        <v>245</v>
      </c>
      <c r="B224" s="35">
        <v>571937686</v>
      </c>
      <c r="C224" s="36">
        <v>44928</v>
      </c>
      <c r="D224" s="35" t="s">
        <v>26</v>
      </c>
      <c r="E224" s="18" t="s">
        <v>257</v>
      </c>
      <c r="F224" s="18">
        <v>8</v>
      </c>
      <c r="G224" s="28">
        <v>400</v>
      </c>
      <c r="H224" s="35">
        <f xml:space="preserve"> SUMIFS(Tabla2[CANTIDAD CARGADAS],Tabla2[CODIGO],Tabla2[[#This Row],[CODIGO]]) - SUMIFS(TABLA_CIERRES[CANTIDAD],TABLA_CIERRES[Codigo],Tabla2[[#This Row],[CODIGO]])</f>
        <v>7</v>
      </c>
      <c r="I224" s="37">
        <v>1000</v>
      </c>
      <c r="J224" s="38">
        <f>Tabla2[[#This Row],[CANTIDAD CARGADAS]]*Tabla2[[#This Row],[COSTOS]]</f>
        <v>3200</v>
      </c>
    </row>
    <row r="225" spans="1:10" x14ac:dyDescent="0.25">
      <c r="A225" s="34">
        <v>246</v>
      </c>
      <c r="B225" s="35">
        <v>866100055</v>
      </c>
      <c r="C225" s="36">
        <v>44928</v>
      </c>
      <c r="D225" s="35" t="s">
        <v>172</v>
      </c>
      <c r="E225" s="18" t="s">
        <v>258</v>
      </c>
      <c r="F225" s="18">
        <v>16</v>
      </c>
      <c r="G225" s="28">
        <v>100</v>
      </c>
      <c r="H225" s="35">
        <f xml:space="preserve"> SUMIFS(Tabla2[CANTIDAD CARGADAS],Tabla2[CODIGO],Tabla2[[#This Row],[CODIGO]]) - SUMIFS(TABLA_CIERRES[CANTIDAD],TABLA_CIERRES[Codigo],Tabla2[[#This Row],[CODIGO]])</f>
        <v>15</v>
      </c>
      <c r="I225" s="37">
        <v>400</v>
      </c>
      <c r="J225" s="38">
        <f>Tabla2[[#This Row],[CANTIDAD CARGADAS]]*Tabla2[[#This Row],[COSTOS]]</f>
        <v>1600</v>
      </c>
    </row>
    <row r="226" spans="1:10" x14ac:dyDescent="0.25">
      <c r="A226" s="34">
        <v>247</v>
      </c>
      <c r="B226" s="35">
        <v>318289721</v>
      </c>
      <c r="C226" s="36">
        <v>44928</v>
      </c>
      <c r="D226" s="35" t="s">
        <v>172</v>
      </c>
      <c r="E226" s="18" t="s">
        <v>259</v>
      </c>
      <c r="F226" s="18">
        <v>19</v>
      </c>
      <c r="G226" s="28">
        <v>100</v>
      </c>
      <c r="H226" s="35">
        <f xml:space="preserve"> SUMIFS(Tabla2[CANTIDAD CARGADAS],Tabla2[CODIGO],Tabla2[[#This Row],[CODIGO]]) - SUMIFS(TABLA_CIERRES[CANTIDAD],TABLA_CIERRES[Codigo],Tabla2[[#This Row],[CODIGO]])</f>
        <v>18</v>
      </c>
      <c r="I226" s="37">
        <v>400</v>
      </c>
      <c r="J226" s="38">
        <f>Tabla2[[#This Row],[CANTIDAD CARGADAS]]*Tabla2[[#This Row],[COSTOS]]</f>
        <v>1900</v>
      </c>
    </row>
    <row r="227" spans="1:10" x14ac:dyDescent="0.25">
      <c r="A227" s="34">
        <v>248</v>
      </c>
      <c r="B227" s="35">
        <v>996181483</v>
      </c>
      <c r="C227" s="36">
        <v>44928</v>
      </c>
      <c r="D227" s="35" t="s">
        <v>26</v>
      </c>
      <c r="E227" s="18" t="s">
        <v>260</v>
      </c>
      <c r="F227" s="18">
        <v>21</v>
      </c>
      <c r="G227" s="28">
        <v>400</v>
      </c>
      <c r="H227" s="35">
        <f xml:space="preserve"> SUMIFS(Tabla2[CANTIDAD CARGADAS],Tabla2[CODIGO],Tabla2[[#This Row],[CODIGO]]) - SUMIFS(TABLA_CIERRES[CANTIDAD],TABLA_CIERRES[Codigo],Tabla2[[#This Row],[CODIGO]])</f>
        <v>21</v>
      </c>
      <c r="I227" s="37">
        <v>1000</v>
      </c>
      <c r="J227" s="38">
        <f>Tabla2[[#This Row],[CANTIDAD CARGADAS]]*Tabla2[[#This Row],[COSTOS]]</f>
        <v>8400</v>
      </c>
    </row>
    <row r="228" spans="1:10" x14ac:dyDescent="0.25">
      <c r="A228" s="34">
        <v>249</v>
      </c>
      <c r="B228" s="35">
        <v>507449407</v>
      </c>
      <c r="C228" s="36">
        <v>44928</v>
      </c>
      <c r="D228" s="35" t="s">
        <v>26</v>
      </c>
      <c r="E228" s="18" t="s">
        <v>261</v>
      </c>
      <c r="F228" s="18">
        <v>3</v>
      </c>
      <c r="G228" s="28">
        <v>600</v>
      </c>
      <c r="H228" s="35">
        <f xml:space="preserve"> SUMIFS(Tabla2[CANTIDAD CARGADAS],Tabla2[CODIGO],Tabla2[[#This Row],[CODIGO]]) - SUMIFS(TABLA_CIERRES[CANTIDAD],TABLA_CIERRES[Codigo],Tabla2[[#This Row],[CODIGO]])</f>
        <v>3</v>
      </c>
      <c r="I228" s="37">
        <v>1400</v>
      </c>
      <c r="J228" s="38">
        <f>Tabla2[[#This Row],[CANTIDAD CARGADAS]]*Tabla2[[#This Row],[COSTOS]]</f>
        <v>1800</v>
      </c>
    </row>
    <row r="229" spans="1:10" x14ac:dyDescent="0.25">
      <c r="A229" s="34">
        <v>250</v>
      </c>
      <c r="B229" s="35">
        <v>836116042</v>
      </c>
      <c r="C229" s="36">
        <v>44928</v>
      </c>
      <c r="D229" s="35" t="s">
        <v>26</v>
      </c>
      <c r="E229" s="18" t="s">
        <v>262</v>
      </c>
      <c r="F229" s="18">
        <v>12</v>
      </c>
      <c r="G229" s="28">
        <v>400</v>
      </c>
      <c r="H229" s="35">
        <f xml:space="preserve"> SUMIFS(Tabla2[CANTIDAD CARGADAS],Tabla2[CODIGO],Tabla2[[#This Row],[CODIGO]]) - SUMIFS(TABLA_CIERRES[CANTIDAD],TABLA_CIERRES[Codigo],Tabla2[[#This Row],[CODIGO]])</f>
        <v>12</v>
      </c>
      <c r="I229" s="37">
        <v>1000</v>
      </c>
      <c r="J229" s="38">
        <f>Tabla2[[#This Row],[CANTIDAD CARGADAS]]*Tabla2[[#This Row],[COSTOS]]</f>
        <v>4800</v>
      </c>
    </row>
    <row r="230" spans="1:10" x14ac:dyDescent="0.25">
      <c r="A230" s="34">
        <v>251</v>
      </c>
      <c r="B230" s="35">
        <v>861192763</v>
      </c>
      <c r="C230" s="36">
        <v>44928</v>
      </c>
      <c r="D230" s="35" t="s">
        <v>26</v>
      </c>
      <c r="E230" s="18" t="s">
        <v>155</v>
      </c>
      <c r="F230" s="18">
        <v>12</v>
      </c>
      <c r="G230" s="28">
        <v>400</v>
      </c>
      <c r="H230" s="35">
        <f xml:space="preserve"> SUMIFS(Tabla2[CANTIDAD CARGADAS],Tabla2[CODIGO],Tabla2[[#This Row],[CODIGO]]) - SUMIFS(TABLA_CIERRES[CANTIDAD],TABLA_CIERRES[Codigo],Tabla2[[#This Row],[CODIGO]])</f>
        <v>22</v>
      </c>
      <c r="I230" s="37">
        <v>100</v>
      </c>
      <c r="J230" s="38">
        <f>Tabla2[[#This Row],[CANTIDAD CARGADAS]]*Tabla2[[#This Row],[COSTOS]]</f>
        <v>4800</v>
      </c>
    </row>
    <row r="231" spans="1:10" x14ac:dyDescent="0.25">
      <c r="A231" s="34">
        <v>252</v>
      </c>
      <c r="B231" s="35">
        <v>277482648</v>
      </c>
      <c r="C231" s="36">
        <v>44928</v>
      </c>
      <c r="D231" s="35" t="s">
        <v>26</v>
      </c>
      <c r="E231" s="18" t="s">
        <v>263</v>
      </c>
      <c r="F231" s="18">
        <v>4</v>
      </c>
      <c r="G231" s="28">
        <v>400</v>
      </c>
      <c r="H231" s="35">
        <f xml:space="preserve"> SUMIFS(Tabla2[CANTIDAD CARGADAS],Tabla2[CODIGO],Tabla2[[#This Row],[CODIGO]]) - SUMIFS(TABLA_CIERRES[CANTIDAD],TABLA_CIERRES[Codigo],Tabla2[[#This Row],[CODIGO]])</f>
        <v>4</v>
      </c>
      <c r="I231" s="37">
        <v>1000</v>
      </c>
      <c r="J231" s="38">
        <f>Tabla2[[#This Row],[CANTIDAD CARGADAS]]*Tabla2[[#This Row],[COSTOS]]</f>
        <v>1600</v>
      </c>
    </row>
    <row r="232" spans="1:10" x14ac:dyDescent="0.25">
      <c r="A232" s="34">
        <v>253</v>
      </c>
      <c r="B232" s="35">
        <v>784907562</v>
      </c>
      <c r="C232" s="36">
        <v>45109</v>
      </c>
      <c r="D232" s="35" t="s">
        <v>172</v>
      </c>
      <c r="E232" s="18" t="s">
        <v>265</v>
      </c>
      <c r="F232" s="18">
        <v>49</v>
      </c>
      <c r="G232" s="28">
        <v>100</v>
      </c>
      <c r="H232" s="35">
        <f xml:space="preserve"> SUMIFS(Tabla2[CANTIDAD CARGADAS],Tabla2[CODIGO],Tabla2[[#This Row],[CODIGO]]) - SUMIFS(TABLA_CIERRES[CANTIDAD],TABLA_CIERRES[Codigo],Tabla2[[#This Row],[CODIGO]])</f>
        <v>48</v>
      </c>
      <c r="I232" s="37">
        <v>400</v>
      </c>
      <c r="J232" s="38">
        <f>Tabla2[[#This Row],[CANTIDAD CARGADAS]]*Tabla2[[#This Row],[COSTOS]]</f>
        <v>4900</v>
      </c>
    </row>
    <row r="233" spans="1:10" x14ac:dyDescent="0.25">
      <c r="A233" s="34">
        <v>254</v>
      </c>
      <c r="B233" s="35">
        <v>772745664</v>
      </c>
      <c r="C233" s="36">
        <v>44928</v>
      </c>
      <c r="D233" s="35" t="s">
        <v>26</v>
      </c>
      <c r="E233" s="18" t="s">
        <v>266</v>
      </c>
      <c r="F233" s="18">
        <v>14</v>
      </c>
      <c r="G233" s="28">
        <v>400</v>
      </c>
      <c r="H233" s="35">
        <f xml:space="preserve"> SUMIFS(Tabla2[CANTIDAD CARGADAS],Tabla2[CODIGO],Tabla2[[#This Row],[CODIGO]]) - SUMIFS(TABLA_CIERRES[CANTIDAD],TABLA_CIERRES[Codigo],Tabla2[[#This Row],[CODIGO]])</f>
        <v>14</v>
      </c>
      <c r="I233" s="37">
        <v>1000</v>
      </c>
      <c r="J233" s="38">
        <f>Tabla2[[#This Row],[CANTIDAD CARGADAS]]*Tabla2[[#This Row],[COSTOS]]</f>
        <v>5600</v>
      </c>
    </row>
    <row r="234" spans="1:10" x14ac:dyDescent="0.25">
      <c r="A234" s="34">
        <v>255</v>
      </c>
      <c r="B234" s="35">
        <v>132172411</v>
      </c>
      <c r="C234" s="36">
        <v>44928</v>
      </c>
      <c r="D234" s="35" t="s">
        <v>26</v>
      </c>
      <c r="E234" s="18" t="s">
        <v>267</v>
      </c>
      <c r="F234" s="18">
        <v>4</v>
      </c>
      <c r="G234" s="28">
        <v>600</v>
      </c>
      <c r="H234" s="35">
        <f xml:space="preserve"> SUMIFS(Tabla2[CANTIDAD CARGADAS],Tabla2[CODIGO],Tabla2[[#This Row],[CODIGO]]) - SUMIFS(TABLA_CIERRES[CANTIDAD],TABLA_CIERRES[Codigo],Tabla2[[#This Row],[CODIGO]])</f>
        <v>4</v>
      </c>
      <c r="I234" s="37">
        <v>1400</v>
      </c>
      <c r="J234" s="38">
        <f>Tabla2[[#This Row],[CANTIDAD CARGADAS]]*Tabla2[[#This Row],[COSTOS]]</f>
        <v>2400</v>
      </c>
    </row>
    <row r="235" spans="1:10" x14ac:dyDescent="0.25">
      <c r="A235" s="34">
        <v>256</v>
      </c>
      <c r="B235" s="35">
        <v>925758780</v>
      </c>
      <c r="C235" s="36">
        <v>44928</v>
      </c>
      <c r="D235" s="35" t="s">
        <v>26</v>
      </c>
      <c r="E235" s="18" t="s">
        <v>268</v>
      </c>
      <c r="F235" s="18">
        <v>19</v>
      </c>
      <c r="G235" s="28">
        <v>400</v>
      </c>
      <c r="H235" s="35">
        <f xml:space="preserve"> SUMIFS(Tabla2[CANTIDAD CARGADAS],Tabla2[CODIGO],Tabla2[[#This Row],[CODIGO]]) - SUMIFS(TABLA_CIERRES[CANTIDAD],TABLA_CIERRES[Codigo],Tabla2[[#This Row],[CODIGO]])</f>
        <v>18</v>
      </c>
      <c r="I235" s="37">
        <v>1000</v>
      </c>
      <c r="J235" s="38">
        <f>Tabla2[[#This Row],[CANTIDAD CARGADAS]]*Tabla2[[#This Row],[COSTOS]]</f>
        <v>7600</v>
      </c>
    </row>
    <row r="236" spans="1:10" x14ac:dyDescent="0.25">
      <c r="A236" s="34">
        <v>257</v>
      </c>
      <c r="B236" s="35">
        <v>314332097</v>
      </c>
      <c r="C236" s="36">
        <v>44959</v>
      </c>
      <c r="D236" s="35" t="s">
        <v>26</v>
      </c>
      <c r="E236" s="18" t="s">
        <v>269</v>
      </c>
      <c r="F236" s="18">
        <v>9</v>
      </c>
      <c r="G236" s="28">
        <v>400</v>
      </c>
      <c r="H236" s="35">
        <f xml:space="preserve"> SUMIFS(Tabla2[CANTIDAD CARGADAS],Tabla2[CODIGO],Tabla2[[#This Row],[CODIGO]]) - SUMIFS(TABLA_CIERRES[CANTIDAD],TABLA_CIERRES[Codigo],Tabla2[[#This Row],[CODIGO]])</f>
        <v>9</v>
      </c>
      <c r="I236" s="37">
        <v>1000</v>
      </c>
      <c r="J236" s="38">
        <f>Tabla2[[#This Row],[CANTIDAD CARGADAS]]*Tabla2[[#This Row],[COSTOS]]</f>
        <v>3600</v>
      </c>
    </row>
    <row r="237" spans="1:10" x14ac:dyDescent="0.25">
      <c r="A237" s="34">
        <v>258</v>
      </c>
      <c r="B237" s="35">
        <v>861192764</v>
      </c>
      <c r="C237" s="36">
        <v>44928</v>
      </c>
      <c r="D237" s="35" t="s">
        <v>26</v>
      </c>
      <c r="E237" s="18" t="s">
        <v>270</v>
      </c>
      <c r="F237" s="18">
        <v>10</v>
      </c>
      <c r="G237" s="28">
        <v>400</v>
      </c>
      <c r="H237" s="35">
        <f xml:space="preserve"> SUMIFS(Tabla2[CANTIDAD CARGADAS],Tabla2[CODIGO],Tabla2[[#This Row],[CODIGO]]) - SUMIFS(TABLA_CIERRES[CANTIDAD],TABLA_CIERRES[Codigo],Tabla2[[#This Row],[CODIGO]])</f>
        <v>9</v>
      </c>
      <c r="I237" s="37">
        <v>1000</v>
      </c>
      <c r="J237" s="38">
        <f>Tabla2[[#This Row],[CANTIDAD CARGADAS]]*Tabla2[[#This Row],[COSTOS]]</f>
        <v>4000</v>
      </c>
    </row>
    <row r="238" spans="1:10" x14ac:dyDescent="0.25">
      <c r="A238" s="34">
        <v>259</v>
      </c>
      <c r="B238" s="35">
        <v>850689708</v>
      </c>
      <c r="C238" s="36">
        <v>44928</v>
      </c>
      <c r="D238" s="35" t="s">
        <v>26</v>
      </c>
      <c r="E238" s="18" t="s">
        <v>166</v>
      </c>
      <c r="F238" s="18">
        <v>5</v>
      </c>
      <c r="G238" s="28">
        <v>400</v>
      </c>
      <c r="H238" s="35">
        <f xml:space="preserve"> SUMIFS(Tabla2[CANTIDAD CARGADAS],Tabla2[CODIGO],Tabla2[[#This Row],[CODIGO]]) - SUMIFS(TABLA_CIERRES[CANTIDAD],TABLA_CIERRES[Codigo],Tabla2[[#This Row],[CODIGO]])</f>
        <v>5</v>
      </c>
      <c r="I238" s="37">
        <v>1000</v>
      </c>
      <c r="J238" s="38">
        <f>Tabla2[[#This Row],[CANTIDAD CARGADAS]]*Tabla2[[#This Row],[COSTOS]]</f>
        <v>2000</v>
      </c>
    </row>
    <row r="239" spans="1:10" x14ac:dyDescent="0.25">
      <c r="A239" s="34">
        <v>260</v>
      </c>
      <c r="B239" s="35">
        <v>305738523</v>
      </c>
      <c r="C239" s="36">
        <v>44928</v>
      </c>
      <c r="D239" s="35" t="s">
        <v>26</v>
      </c>
      <c r="E239" s="18" t="s">
        <v>167</v>
      </c>
      <c r="F239" s="18">
        <v>2</v>
      </c>
      <c r="G239" s="28">
        <v>400</v>
      </c>
      <c r="H239" s="35">
        <f xml:space="preserve"> SUMIFS(Tabla2[CANTIDAD CARGADAS],Tabla2[CODIGO],Tabla2[[#This Row],[CODIGO]]) - SUMIFS(TABLA_CIERRES[CANTIDAD],TABLA_CIERRES[Codigo],Tabla2[[#This Row],[CODIGO]])</f>
        <v>2</v>
      </c>
      <c r="I239" s="37">
        <v>1000</v>
      </c>
      <c r="J239" s="38">
        <f>Tabla2[[#This Row],[CANTIDAD CARGADAS]]*Tabla2[[#This Row],[COSTOS]]</f>
        <v>800</v>
      </c>
    </row>
    <row r="240" spans="1:10" x14ac:dyDescent="0.25">
      <c r="A240" s="34">
        <v>261</v>
      </c>
      <c r="B240" s="35">
        <v>17729613</v>
      </c>
      <c r="C240" s="36">
        <v>44928</v>
      </c>
      <c r="D240" s="35" t="s">
        <v>26</v>
      </c>
      <c r="E240" s="18" t="s">
        <v>165</v>
      </c>
      <c r="F240" s="18">
        <v>8</v>
      </c>
      <c r="G240" s="28">
        <v>400</v>
      </c>
      <c r="H240" s="35">
        <f xml:space="preserve"> SUMIFS(Tabla2[CANTIDAD CARGADAS],Tabla2[CODIGO],Tabla2[[#This Row],[CODIGO]]) - SUMIFS(TABLA_CIERRES[CANTIDAD],TABLA_CIERRES[Codigo],Tabla2[[#This Row],[CODIGO]])</f>
        <v>7</v>
      </c>
      <c r="I240" s="37">
        <v>1000</v>
      </c>
      <c r="J240" s="38">
        <f>Tabla2[[#This Row],[CANTIDAD CARGADAS]]*Tabla2[[#This Row],[COSTOS]]</f>
        <v>3200</v>
      </c>
    </row>
    <row r="241" spans="1:10" x14ac:dyDescent="0.25">
      <c r="A241" s="34">
        <v>262</v>
      </c>
      <c r="B241" s="35">
        <v>386010829</v>
      </c>
      <c r="C241" s="36">
        <v>44928</v>
      </c>
      <c r="D241" s="35" t="s">
        <v>26</v>
      </c>
      <c r="E241" s="18" t="s">
        <v>271</v>
      </c>
      <c r="F241" s="18">
        <v>19</v>
      </c>
      <c r="G241" s="28">
        <v>400</v>
      </c>
      <c r="H241" s="35">
        <f xml:space="preserve"> SUMIFS(Tabla2[CANTIDAD CARGADAS],Tabla2[CODIGO],Tabla2[[#This Row],[CODIGO]]) - SUMIFS(TABLA_CIERRES[CANTIDAD],TABLA_CIERRES[Codigo],Tabla2[[#This Row],[CODIGO]])</f>
        <v>17</v>
      </c>
      <c r="I241" s="37">
        <v>1000</v>
      </c>
      <c r="J241" s="38">
        <f>Tabla2[[#This Row],[CANTIDAD CARGADAS]]*Tabla2[[#This Row],[COSTOS]]</f>
        <v>7600</v>
      </c>
    </row>
    <row r="242" spans="1:10" x14ac:dyDescent="0.25">
      <c r="A242" s="34">
        <v>263</v>
      </c>
      <c r="B242" s="35">
        <v>713758876</v>
      </c>
      <c r="C242" s="36">
        <v>44987</v>
      </c>
      <c r="D242" s="35" t="s">
        <v>172</v>
      </c>
      <c r="E242" s="18" t="s">
        <v>272</v>
      </c>
      <c r="F242" s="18">
        <v>32</v>
      </c>
      <c r="G242" s="28">
        <v>100</v>
      </c>
      <c r="H242" s="35">
        <f xml:space="preserve"> SUMIFS(Tabla2[CANTIDAD CARGADAS],Tabla2[CODIGO],Tabla2[[#This Row],[CODIGO]]) - SUMIFS(TABLA_CIERRES[CANTIDAD],TABLA_CIERRES[Codigo],Tabla2[[#This Row],[CODIGO]])</f>
        <v>14</v>
      </c>
      <c r="I242" s="37">
        <v>400</v>
      </c>
      <c r="J242" s="38">
        <f>Tabla2[[#This Row],[CANTIDAD CARGADAS]]*Tabla2[[#This Row],[COSTOS]]</f>
        <v>3200</v>
      </c>
    </row>
    <row r="243" spans="1:10" x14ac:dyDescent="0.25">
      <c r="A243" s="34">
        <v>264</v>
      </c>
      <c r="B243" s="35">
        <v>990286544</v>
      </c>
      <c r="C243" s="36">
        <v>45109</v>
      </c>
      <c r="D243" s="35" t="s">
        <v>188</v>
      </c>
      <c r="E243" s="18" t="s">
        <v>466</v>
      </c>
      <c r="F243" s="18">
        <v>5</v>
      </c>
      <c r="G243" s="28">
        <v>400</v>
      </c>
      <c r="H243" s="35">
        <f xml:space="preserve"> SUMIFS(Tabla2[CANTIDAD CARGADAS],Tabla2[CODIGO],Tabla2[[#This Row],[CODIGO]]) - SUMIFS(TABLA_CIERRES[CANTIDAD],TABLA_CIERRES[Codigo],Tabla2[[#This Row],[CODIGO]])</f>
        <v>2</v>
      </c>
      <c r="I243" s="37">
        <v>900</v>
      </c>
      <c r="J243" s="38">
        <f>Tabla2[[#This Row],[CANTIDAD CARGADAS]]*Tabla2[[#This Row],[COSTOS]]</f>
        <v>2000</v>
      </c>
    </row>
    <row r="244" spans="1:10" x14ac:dyDescent="0.25">
      <c r="A244" s="34">
        <v>265</v>
      </c>
      <c r="B244" s="35">
        <v>171340858</v>
      </c>
      <c r="C244" s="36">
        <v>44987</v>
      </c>
      <c r="D244" s="35" t="s">
        <v>172</v>
      </c>
      <c r="E244" s="18" t="s">
        <v>274</v>
      </c>
      <c r="F244" s="18">
        <v>60</v>
      </c>
      <c r="G244" s="28">
        <v>100</v>
      </c>
      <c r="H244" s="35">
        <f xml:space="preserve"> SUMIFS(Tabla2[CANTIDAD CARGADAS],Tabla2[CODIGO],Tabla2[[#This Row],[CODIGO]]) - SUMIFS(TABLA_CIERRES[CANTIDAD],TABLA_CIERRES[Codigo],Tabla2[[#This Row],[CODIGO]])</f>
        <v>53</v>
      </c>
      <c r="I244" s="37">
        <v>400</v>
      </c>
      <c r="J244" s="38">
        <f>Tabla2[[#This Row],[CANTIDAD CARGADAS]]*Tabla2[[#This Row],[COSTOS]]</f>
        <v>6000</v>
      </c>
    </row>
    <row r="245" spans="1:10" x14ac:dyDescent="0.25">
      <c r="A245" s="34">
        <v>266</v>
      </c>
      <c r="B245" s="35">
        <v>990286543</v>
      </c>
      <c r="C245" s="36">
        <v>44959</v>
      </c>
      <c r="D245" s="35" t="s">
        <v>172</v>
      </c>
      <c r="E245" s="18" t="s">
        <v>275</v>
      </c>
      <c r="F245" s="18">
        <v>25</v>
      </c>
      <c r="G245" s="28">
        <v>100</v>
      </c>
      <c r="H245" s="35">
        <f xml:space="preserve"> SUMIFS(Tabla2[CANTIDAD CARGADAS],Tabla2[CODIGO],Tabla2[[#This Row],[CODIGO]]) - SUMIFS(TABLA_CIERRES[CANTIDAD],TABLA_CIERRES[Codigo],Tabla2[[#This Row],[CODIGO]])</f>
        <v>24</v>
      </c>
      <c r="I245" s="37">
        <v>400</v>
      </c>
      <c r="J245" s="38">
        <f>Tabla2[[#This Row],[CANTIDAD CARGADAS]]*Tabla2[[#This Row],[COSTOS]]</f>
        <v>2500</v>
      </c>
    </row>
    <row r="246" spans="1:10" x14ac:dyDescent="0.25">
      <c r="A246" s="34">
        <v>267</v>
      </c>
      <c r="B246" s="35">
        <v>86459921</v>
      </c>
      <c r="C246" s="36">
        <v>45109</v>
      </c>
      <c r="D246" s="35" t="s">
        <v>172</v>
      </c>
      <c r="E246" s="18" t="s">
        <v>276</v>
      </c>
      <c r="F246" s="18">
        <v>64</v>
      </c>
      <c r="G246" s="28">
        <v>100</v>
      </c>
      <c r="H246" s="35">
        <f xml:space="preserve"> SUMIFS(Tabla2[CANTIDAD CARGADAS],Tabla2[CODIGO],Tabla2[[#This Row],[CODIGO]]) - SUMIFS(TABLA_CIERRES[CANTIDAD],TABLA_CIERRES[Codigo],Tabla2[[#This Row],[CODIGO]])</f>
        <v>58</v>
      </c>
      <c r="I246" s="37">
        <v>400</v>
      </c>
      <c r="J246" s="38">
        <f>Tabla2[[#This Row],[CANTIDAD CARGADAS]]*Tabla2[[#This Row],[COSTOS]]</f>
        <v>6400</v>
      </c>
    </row>
    <row r="247" spans="1:10" x14ac:dyDescent="0.25">
      <c r="A247" s="34">
        <v>268</v>
      </c>
      <c r="B247" s="35">
        <v>171471790</v>
      </c>
      <c r="C247" s="36">
        <v>44959</v>
      </c>
      <c r="D247" s="35" t="s">
        <v>172</v>
      </c>
      <c r="E247" s="18" t="s">
        <v>277</v>
      </c>
      <c r="F247" s="18">
        <v>53</v>
      </c>
      <c r="G247" s="28">
        <v>100</v>
      </c>
      <c r="H247" s="35">
        <f xml:space="preserve"> SUMIFS(Tabla2[CANTIDAD CARGADAS],Tabla2[CODIGO],Tabla2[[#This Row],[CODIGO]]) - SUMIFS(TABLA_CIERRES[CANTIDAD],TABLA_CIERRES[Codigo],Tabla2[[#This Row],[CODIGO]])</f>
        <v>51</v>
      </c>
      <c r="I247" s="37">
        <v>400</v>
      </c>
      <c r="J247" s="38">
        <f>Tabla2[[#This Row],[CANTIDAD CARGADAS]]*Tabla2[[#This Row],[COSTOS]]</f>
        <v>5300</v>
      </c>
    </row>
    <row r="248" spans="1:10" x14ac:dyDescent="0.25">
      <c r="A248" s="34">
        <v>269</v>
      </c>
      <c r="B248" s="35">
        <v>86459922</v>
      </c>
      <c r="C248" s="36">
        <v>44959</v>
      </c>
      <c r="D248" s="35" t="s">
        <v>172</v>
      </c>
      <c r="E248" s="18" t="s">
        <v>278</v>
      </c>
      <c r="F248" s="18">
        <v>38</v>
      </c>
      <c r="G248" s="28">
        <v>100</v>
      </c>
      <c r="H248" s="35">
        <f xml:space="preserve"> SUMIFS(Tabla2[CANTIDAD CARGADAS],Tabla2[CODIGO],Tabla2[[#This Row],[CODIGO]]) - SUMIFS(TABLA_CIERRES[CANTIDAD],TABLA_CIERRES[Codigo],Tabla2[[#This Row],[CODIGO]])</f>
        <v>35</v>
      </c>
      <c r="I248" s="37">
        <v>400</v>
      </c>
      <c r="J248" s="38">
        <f>Tabla2[[#This Row],[CANTIDAD CARGADAS]]*Tabla2[[#This Row],[COSTOS]]</f>
        <v>3800</v>
      </c>
    </row>
    <row r="249" spans="1:10" x14ac:dyDescent="0.25">
      <c r="A249" s="34">
        <v>270</v>
      </c>
      <c r="B249" s="35">
        <v>888939327</v>
      </c>
      <c r="C249" s="36">
        <v>44959</v>
      </c>
      <c r="D249" s="35" t="s">
        <v>26</v>
      </c>
      <c r="E249" s="18" t="s">
        <v>280</v>
      </c>
      <c r="F249" s="18">
        <v>8</v>
      </c>
      <c r="G249" s="28">
        <v>400</v>
      </c>
      <c r="H249" s="35">
        <f xml:space="preserve"> SUMIFS(Tabla2[CANTIDAD CARGADAS],Tabla2[CODIGO],Tabla2[[#This Row],[CODIGO]]) - SUMIFS(TABLA_CIERRES[CANTIDAD],TABLA_CIERRES[Codigo],Tabla2[[#This Row],[CODIGO]])</f>
        <v>8</v>
      </c>
      <c r="I249" s="37">
        <v>1000</v>
      </c>
      <c r="J249" s="38">
        <f>Tabla2[[#This Row],[CANTIDAD CARGADAS]]*Tabla2[[#This Row],[COSTOS]]</f>
        <v>3200</v>
      </c>
    </row>
    <row r="250" spans="1:10" x14ac:dyDescent="0.25">
      <c r="A250" s="34">
        <v>271</v>
      </c>
      <c r="B250" s="35">
        <v>866100056</v>
      </c>
      <c r="C250" s="36">
        <v>44959</v>
      </c>
      <c r="D250" s="35" t="s">
        <v>172</v>
      </c>
      <c r="E250" s="18" t="s">
        <v>281</v>
      </c>
      <c r="F250" s="18">
        <v>78</v>
      </c>
      <c r="G250" s="28">
        <v>100</v>
      </c>
      <c r="H250" s="35">
        <f xml:space="preserve"> SUMIFS(Tabla2[CANTIDAD CARGADAS],Tabla2[CODIGO],Tabla2[[#This Row],[CODIGO]]) - SUMIFS(TABLA_CIERRES[CANTIDAD],TABLA_CIERRES[Codigo],Tabla2[[#This Row],[CODIGO]])</f>
        <v>75</v>
      </c>
      <c r="I250" s="37">
        <v>400</v>
      </c>
      <c r="J250" s="38">
        <f>Tabla2[[#This Row],[CANTIDAD CARGADAS]]*Tabla2[[#This Row],[COSTOS]]</f>
        <v>7800</v>
      </c>
    </row>
    <row r="251" spans="1:10" x14ac:dyDescent="0.25">
      <c r="A251" s="34">
        <v>272</v>
      </c>
      <c r="B251" s="35">
        <v>848817032</v>
      </c>
      <c r="C251" s="36">
        <v>44959</v>
      </c>
      <c r="D251" s="35" t="s">
        <v>172</v>
      </c>
      <c r="E251" s="18" t="s">
        <v>282</v>
      </c>
      <c r="F251" s="18">
        <v>25</v>
      </c>
      <c r="G251" s="28">
        <v>100</v>
      </c>
      <c r="H251" s="35">
        <f xml:space="preserve"> SUMIFS(Tabla2[CANTIDAD CARGADAS],Tabla2[CODIGO],Tabla2[[#This Row],[CODIGO]]) - SUMIFS(TABLA_CIERRES[CANTIDAD],TABLA_CIERRES[Codigo],Tabla2[[#This Row],[CODIGO]])</f>
        <v>20</v>
      </c>
      <c r="I251" s="37">
        <v>400</v>
      </c>
      <c r="J251" s="38">
        <f>Tabla2[[#This Row],[CANTIDAD CARGADAS]]*Tabla2[[#This Row],[COSTOS]]</f>
        <v>2500</v>
      </c>
    </row>
    <row r="252" spans="1:10" x14ac:dyDescent="0.25">
      <c r="A252" s="34">
        <v>273</v>
      </c>
      <c r="B252" s="35">
        <v>717861777</v>
      </c>
      <c r="C252" s="36">
        <v>44959</v>
      </c>
      <c r="D252" s="35" t="s">
        <v>26</v>
      </c>
      <c r="E252" s="18" t="s">
        <v>283</v>
      </c>
      <c r="F252" s="18">
        <v>20</v>
      </c>
      <c r="G252" s="28">
        <v>400</v>
      </c>
      <c r="H252" s="35">
        <f xml:space="preserve"> SUMIFS(Tabla2[CANTIDAD CARGADAS],Tabla2[CODIGO],Tabla2[[#This Row],[CODIGO]]) - SUMIFS(TABLA_CIERRES[CANTIDAD],TABLA_CIERRES[Codigo],Tabla2[[#This Row],[CODIGO]])</f>
        <v>19</v>
      </c>
      <c r="I252" s="37">
        <v>1000</v>
      </c>
      <c r="J252" s="38">
        <f>Tabla2[[#This Row],[CANTIDAD CARGADAS]]*Tabla2[[#This Row],[COSTOS]]</f>
        <v>8000</v>
      </c>
    </row>
    <row r="253" spans="1:10" x14ac:dyDescent="0.25">
      <c r="A253" s="34">
        <v>274</v>
      </c>
      <c r="B253" s="35">
        <v>281432045</v>
      </c>
      <c r="C253" s="36">
        <v>44959</v>
      </c>
      <c r="D253" s="35" t="s">
        <v>172</v>
      </c>
      <c r="E253" s="18" t="s">
        <v>284</v>
      </c>
      <c r="F253" s="18">
        <v>5</v>
      </c>
      <c r="G253" s="28">
        <v>200</v>
      </c>
      <c r="H253" s="35">
        <f xml:space="preserve"> SUMIFS(Tabla2[CANTIDAD CARGADAS],Tabla2[CODIGO],Tabla2[[#This Row],[CODIGO]]) - SUMIFS(TABLA_CIERRES[CANTIDAD],TABLA_CIERRES[Codigo],Tabla2[[#This Row],[CODIGO]])</f>
        <v>5</v>
      </c>
      <c r="I253" s="37">
        <v>600</v>
      </c>
      <c r="J253" s="38">
        <f>Tabla2[[#This Row],[CANTIDAD CARGADAS]]*Tabla2[[#This Row],[COSTOS]]</f>
        <v>1000</v>
      </c>
    </row>
    <row r="254" spans="1:10" x14ac:dyDescent="0.25">
      <c r="A254" s="34">
        <v>275</v>
      </c>
      <c r="B254" s="35">
        <v>828831464</v>
      </c>
      <c r="C254" s="36">
        <v>44959</v>
      </c>
      <c r="D254" s="35" t="s">
        <v>26</v>
      </c>
      <c r="E254" s="18" t="s">
        <v>285</v>
      </c>
      <c r="F254" s="18">
        <v>34</v>
      </c>
      <c r="G254" s="28">
        <v>400</v>
      </c>
      <c r="H254" s="35">
        <f xml:space="preserve"> SUMIFS(Tabla2[CANTIDAD CARGADAS],Tabla2[CODIGO],Tabla2[[#This Row],[CODIGO]]) - SUMIFS(TABLA_CIERRES[CANTIDAD],TABLA_CIERRES[Codigo],Tabla2[[#This Row],[CODIGO]])</f>
        <v>33</v>
      </c>
      <c r="I254" s="37">
        <v>1000</v>
      </c>
      <c r="J254" s="38">
        <f>Tabla2[[#This Row],[CANTIDAD CARGADAS]]*Tabla2[[#This Row],[COSTOS]]</f>
        <v>13600</v>
      </c>
    </row>
    <row r="255" spans="1:10" x14ac:dyDescent="0.25">
      <c r="A255" s="34">
        <v>276</v>
      </c>
      <c r="B255" s="35">
        <v>154326099</v>
      </c>
      <c r="C255" s="36">
        <v>44959</v>
      </c>
      <c r="D255" s="35" t="s">
        <v>26</v>
      </c>
      <c r="E255" s="18" t="s">
        <v>286</v>
      </c>
      <c r="F255" s="18">
        <v>3</v>
      </c>
      <c r="G255" s="28">
        <v>600</v>
      </c>
      <c r="H255" s="35">
        <f xml:space="preserve"> SUMIFS(Tabla2[CANTIDAD CARGADAS],Tabla2[CODIGO],Tabla2[[#This Row],[CODIGO]]) - SUMIFS(TABLA_CIERRES[CANTIDAD],TABLA_CIERRES[Codigo],Tabla2[[#This Row],[CODIGO]])</f>
        <v>3</v>
      </c>
      <c r="I255" s="37">
        <v>1400</v>
      </c>
      <c r="J255" s="38">
        <f>Tabla2[[#This Row],[CANTIDAD CARGADAS]]*Tabla2[[#This Row],[COSTOS]]</f>
        <v>1800</v>
      </c>
    </row>
    <row r="256" spans="1:10" x14ac:dyDescent="0.25">
      <c r="A256" s="34">
        <v>277</v>
      </c>
      <c r="B256" s="35">
        <v>200260895</v>
      </c>
      <c r="C256" s="36">
        <v>44959</v>
      </c>
      <c r="D256" s="35" t="s">
        <v>26</v>
      </c>
      <c r="E256" s="18" t="s">
        <v>287</v>
      </c>
      <c r="F256" s="18">
        <v>3</v>
      </c>
      <c r="G256" s="28">
        <v>600</v>
      </c>
      <c r="H256" s="35">
        <f xml:space="preserve"> SUMIFS(Tabla2[CANTIDAD CARGADAS],Tabla2[CODIGO],Tabla2[[#This Row],[CODIGO]]) - SUMIFS(TABLA_CIERRES[CANTIDAD],TABLA_CIERRES[Codigo],Tabla2[[#This Row],[CODIGO]])</f>
        <v>5</v>
      </c>
      <c r="I256" s="37">
        <v>1400</v>
      </c>
      <c r="J256" s="38">
        <f>Tabla2[[#This Row],[CANTIDAD CARGADAS]]*Tabla2[[#This Row],[COSTOS]]</f>
        <v>1800</v>
      </c>
    </row>
    <row r="257" spans="1:10" x14ac:dyDescent="0.25">
      <c r="A257" s="34">
        <v>278</v>
      </c>
      <c r="B257" s="35">
        <v>221305885</v>
      </c>
      <c r="C257" s="36">
        <v>44959</v>
      </c>
      <c r="D257" s="35" t="s">
        <v>172</v>
      </c>
      <c r="E257" s="18" t="s">
        <v>289</v>
      </c>
      <c r="F257" s="18">
        <v>75</v>
      </c>
      <c r="G257" s="28">
        <v>100</v>
      </c>
      <c r="H257" s="35">
        <f xml:space="preserve"> SUMIFS(Tabla2[CANTIDAD CARGADAS],Tabla2[CODIGO],Tabla2[[#This Row],[CODIGO]]) - SUMIFS(TABLA_CIERRES[CANTIDAD],TABLA_CIERRES[Codigo],Tabla2[[#This Row],[CODIGO]])</f>
        <v>74</v>
      </c>
      <c r="I257" s="37">
        <v>400</v>
      </c>
      <c r="J257" s="38">
        <f>Tabla2[[#This Row],[CANTIDAD CARGADAS]]*Tabla2[[#This Row],[COSTOS]]</f>
        <v>7500</v>
      </c>
    </row>
    <row r="258" spans="1:10" x14ac:dyDescent="0.25">
      <c r="A258" s="34">
        <v>279</v>
      </c>
      <c r="B258" s="35">
        <v>219541902</v>
      </c>
      <c r="C258" s="36">
        <v>44959</v>
      </c>
      <c r="D258" s="35" t="s">
        <v>26</v>
      </c>
      <c r="E258" s="18" t="s">
        <v>290</v>
      </c>
      <c r="F258" s="18">
        <v>30</v>
      </c>
      <c r="G258" s="28">
        <v>400</v>
      </c>
      <c r="H258" s="35">
        <f xml:space="preserve"> SUMIFS(Tabla2[CANTIDAD CARGADAS],Tabla2[CODIGO],Tabla2[[#This Row],[CODIGO]]) - SUMIFS(TABLA_CIERRES[CANTIDAD],TABLA_CIERRES[Codigo],Tabla2[[#This Row],[CODIGO]])</f>
        <v>30</v>
      </c>
      <c r="I258" s="37">
        <v>1000</v>
      </c>
      <c r="J258" s="38">
        <f>Tabla2[[#This Row],[CANTIDAD CARGADAS]]*Tabla2[[#This Row],[COSTOS]]</f>
        <v>12000</v>
      </c>
    </row>
    <row r="259" spans="1:10" x14ac:dyDescent="0.25">
      <c r="A259" s="34">
        <v>280</v>
      </c>
      <c r="B259" s="35">
        <v>977203814</v>
      </c>
      <c r="C259" s="36">
        <v>44959</v>
      </c>
      <c r="D259" s="35" t="s">
        <v>26</v>
      </c>
      <c r="E259" s="18" t="s">
        <v>291</v>
      </c>
      <c r="F259" s="18">
        <v>3</v>
      </c>
      <c r="G259" s="28">
        <v>600</v>
      </c>
      <c r="H259" s="35">
        <f xml:space="preserve"> SUMIFS(Tabla2[CANTIDAD CARGADAS],Tabla2[CODIGO],Tabla2[[#This Row],[CODIGO]]) - SUMIFS(TABLA_CIERRES[CANTIDAD],TABLA_CIERRES[Codigo],Tabla2[[#This Row],[CODIGO]])</f>
        <v>3</v>
      </c>
      <c r="I259" s="37">
        <v>1400</v>
      </c>
      <c r="J259" s="38">
        <f>Tabla2[[#This Row],[CANTIDAD CARGADAS]]*Tabla2[[#This Row],[COSTOS]]</f>
        <v>1800</v>
      </c>
    </row>
    <row r="260" spans="1:10" x14ac:dyDescent="0.25">
      <c r="A260" s="34">
        <v>281</v>
      </c>
      <c r="B260" s="35">
        <v>221305886</v>
      </c>
      <c r="C260" s="36">
        <v>44959</v>
      </c>
      <c r="D260" s="35" t="s">
        <v>26</v>
      </c>
      <c r="E260" s="18" t="s">
        <v>292</v>
      </c>
      <c r="F260" s="18">
        <v>3</v>
      </c>
      <c r="G260" s="28">
        <v>600</v>
      </c>
      <c r="H260" s="35">
        <f xml:space="preserve"> SUMIFS(Tabla2[CANTIDAD CARGADAS],Tabla2[CODIGO],Tabla2[[#This Row],[CODIGO]]) - SUMIFS(TABLA_CIERRES[CANTIDAD],TABLA_CIERRES[Codigo],Tabla2[[#This Row],[CODIGO]])</f>
        <v>3</v>
      </c>
      <c r="I260" s="37">
        <v>1400</v>
      </c>
      <c r="J260" s="38">
        <f>Tabla2[[#This Row],[CANTIDAD CARGADAS]]*Tabla2[[#This Row],[COSTOS]]</f>
        <v>1800</v>
      </c>
    </row>
    <row r="261" spans="1:10" x14ac:dyDescent="0.25">
      <c r="A261" s="34">
        <v>282</v>
      </c>
      <c r="B261" s="35">
        <v>571063755</v>
      </c>
      <c r="C261" s="36">
        <v>44959</v>
      </c>
      <c r="D261" s="35" t="s">
        <v>26</v>
      </c>
      <c r="E261" s="18" t="s">
        <v>293</v>
      </c>
      <c r="F261" s="18">
        <v>22</v>
      </c>
      <c r="G261" s="28">
        <v>400</v>
      </c>
      <c r="H261" s="35">
        <f xml:space="preserve"> SUMIFS(Tabla2[CANTIDAD CARGADAS],Tabla2[CODIGO],Tabla2[[#This Row],[CODIGO]]) - SUMIFS(TABLA_CIERRES[CANTIDAD],TABLA_CIERRES[Codigo],Tabla2[[#This Row],[CODIGO]])</f>
        <v>22</v>
      </c>
      <c r="I261" s="37">
        <v>1000</v>
      </c>
      <c r="J261" s="38">
        <f>Tabla2[[#This Row],[CANTIDAD CARGADAS]]*Tabla2[[#This Row],[COSTOS]]</f>
        <v>8800</v>
      </c>
    </row>
    <row r="262" spans="1:10" x14ac:dyDescent="0.25">
      <c r="A262" s="34">
        <v>283</v>
      </c>
      <c r="B262" s="35">
        <v>543014942</v>
      </c>
      <c r="C262" s="36">
        <v>44959</v>
      </c>
      <c r="D262" s="35" t="s">
        <v>26</v>
      </c>
      <c r="E262" s="18" t="s">
        <v>294</v>
      </c>
      <c r="F262" s="18">
        <v>3</v>
      </c>
      <c r="G262" s="28">
        <v>600</v>
      </c>
      <c r="H262" s="35">
        <f xml:space="preserve"> SUMIFS(Tabla2[CANTIDAD CARGADAS],Tabla2[CODIGO],Tabla2[[#This Row],[CODIGO]]) - SUMIFS(TABLA_CIERRES[CANTIDAD],TABLA_CIERRES[Codigo],Tabla2[[#This Row],[CODIGO]])</f>
        <v>3</v>
      </c>
      <c r="I262" s="37">
        <v>1400</v>
      </c>
      <c r="J262" s="38">
        <f>Tabla2[[#This Row],[CANTIDAD CARGADAS]]*Tabla2[[#This Row],[COSTOS]]</f>
        <v>1800</v>
      </c>
    </row>
    <row r="263" spans="1:10" x14ac:dyDescent="0.25">
      <c r="A263" s="34">
        <v>284</v>
      </c>
      <c r="B263" s="35">
        <v>796088155</v>
      </c>
      <c r="C263" s="36">
        <v>44959</v>
      </c>
      <c r="D263" s="35" t="s">
        <v>26</v>
      </c>
      <c r="E263" s="18" t="s">
        <v>295</v>
      </c>
      <c r="F263" s="18">
        <v>3</v>
      </c>
      <c r="G263" s="28">
        <v>600</v>
      </c>
      <c r="H263" s="35">
        <f xml:space="preserve"> SUMIFS(Tabla2[CANTIDAD CARGADAS],Tabla2[CODIGO],Tabla2[[#This Row],[CODIGO]]) - SUMIFS(TABLA_CIERRES[CANTIDAD],TABLA_CIERRES[Codigo],Tabla2[[#This Row],[CODIGO]])</f>
        <v>3</v>
      </c>
      <c r="I263" s="37">
        <v>1400</v>
      </c>
      <c r="J263" s="38">
        <f>Tabla2[[#This Row],[CANTIDAD CARGADAS]]*Tabla2[[#This Row],[COSTOS]]</f>
        <v>1800</v>
      </c>
    </row>
    <row r="264" spans="1:10" x14ac:dyDescent="0.25">
      <c r="A264" s="34">
        <v>285</v>
      </c>
      <c r="B264" s="35">
        <v>118309195</v>
      </c>
      <c r="C264" s="36">
        <v>44959</v>
      </c>
      <c r="D264" s="35" t="s">
        <v>26</v>
      </c>
      <c r="E264" s="18" t="s">
        <v>298</v>
      </c>
      <c r="F264" s="18">
        <v>3</v>
      </c>
      <c r="G264" s="28">
        <v>600</v>
      </c>
      <c r="H264" s="35">
        <f xml:space="preserve"> SUMIFS(Tabla2[CANTIDAD CARGADAS],Tabla2[CODIGO],Tabla2[[#This Row],[CODIGO]]) - SUMIFS(TABLA_CIERRES[CANTIDAD],TABLA_CIERRES[Codigo],Tabla2[[#This Row],[CODIGO]])</f>
        <v>2</v>
      </c>
      <c r="I264" s="37">
        <v>1400</v>
      </c>
      <c r="J264" s="38">
        <f>Tabla2[[#This Row],[CANTIDAD CARGADAS]]*Tabla2[[#This Row],[COSTOS]]</f>
        <v>1800</v>
      </c>
    </row>
    <row r="265" spans="1:10" x14ac:dyDescent="0.25">
      <c r="A265" s="34">
        <v>286</v>
      </c>
      <c r="B265" s="35">
        <v>251880630</v>
      </c>
      <c r="C265" s="36">
        <v>44959</v>
      </c>
      <c r="D265" s="35" t="s">
        <v>26</v>
      </c>
      <c r="E265" s="18" t="s">
        <v>299</v>
      </c>
      <c r="F265" s="18">
        <v>28</v>
      </c>
      <c r="G265" s="28">
        <v>400</v>
      </c>
      <c r="H265" s="35">
        <f xml:space="preserve"> SUMIFS(Tabla2[CANTIDAD CARGADAS],Tabla2[CODIGO],Tabla2[[#This Row],[CODIGO]]) - SUMIFS(TABLA_CIERRES[CANTIDAD],TABLA_CIERRES[Codigo],Tabla2[[#This Row],[CODIGO]])</f>
        <v>28</v>
      </c>
      <c r="I265" s="37">
        <v>1000</v>
      </c>
      <c r="J265" s="38">
        <f>Tabla2[[#This Row],[CANTIDAD CARGADAS]]*Tabla2[[#This Row],[COSTOS]]</f>
        <v>11200</v>
      </c>
    </row>
    <row r="266" spans="1:10" x14ac:dyDescent="0.25">
      <c r="A266" s="34">
        <v>287</v>
      </c>
      <c r="B266" s="35">
        <v>42030966</v>
      </c>
      <c r="C266" s="36">
        <v>44959</v>
      </c>
      <c r="D266" s="35" t="s">
        <v>26</v>
      </c>
      <c r="E266" s="18" t="s">
        <v>300</v>
      </c>
      <c r="F266" s="18">
        <v>3</v>
      </c>
      <c r="G266" s="28">
        <v>600</v>
      </c>
      <c r="H266" s="35">
        <f xml:space="preserve"> SUMIFS(Tabla2[CANTIDAD CARGADAS],Tabla2[CODIGO],Tabla2[[#This Row],[CODIGO]]) - SUMIFS(TABLA_CIERRES[CANTIDAD],TABLA_CIERRES[Codigo],Tabla2[[#This Row],[CODIGO]])</f>
        <v>3</v>
      </c>
      <c r="I266" s="37">
        <v>1400</v>
      </c>
      <c r="J266" s="38">
        <f>Tabla2[[#This Row],[CANTIDAD CARGADAS]]*Tabla2[[#This Row],[COSTOS]]</f>
        <v>1800</v>
      </c>
    </row>
    <row r="267" spans="1:10" x14ac:dyDescent="0.25">
      <c r="A267" s="34">
        <v>288</v>
      </c>
      <c r="B267" s="35">
        <v>961650417</v>
      </c>
      <c r="C267" s="36">
        <v>44987</v>
      </c>
      <c r="D267" s="35" t="s">
        <v>26</v>
      </c>
      <c r="E267" s="18" t="s">
        <v>301</v>
      </c>
      <c r="F267" s="18">
        <v>3</v>
      </c>
      <c r="G267" s="28">
        <v>600</v>
      </c>
      <c r="H267" s="35">
        <f xml:space="preserve"> SUMIFS(Tabla2[CANTIDAD CARGADAS],Tabla2[CODIGO],Tabla2[[#This Row],[CODIGO]]) - SUMIFS(TABLA_CIERRES[CANTIDAD],TABLA_CIERRES[Codigo],Tabla2[[#This Row],[CODIGO]])</f>
        <v>3</v>
      </c>
      <c r="I267" s="37">
        <v>1400</v>
      </c>
      <c r="J267" s="38">
        <f>Tabla2[[#This Row],[CANTIDAD CARGADAS]]*Tabla2[[#This Row],[COSTOS]]</f>
        <v>1800</v>
      </c>
    </row>
    <row r="268" spans="1:10" x14ac:dyDescent="0.25">
      <c r="A268" s="34">
        <v>289</v>
      </c>
      <c r="B268" s="35">
        <v>694427907</v>
      </c>
      <c r="C268" s="36">
        <v>44987</v>
      </c>
      <c r="D268" s="35" t="s">
        <v>26</v>
      </c>
      <c r="E268" s="18" t="s">
        <v>302</v>
      </c>
      <c r="F268" s="18">
        <v>21</v>
      </c>
      <c r="G268" s="28">
        <v>400</v>
      </c>
      <c r="H268" s="35">
        <f xml:space="preserve"> SUMIFS(Tabla2[CANTIDAD CARGADAS],Tabla2[CODIGO],Tabla2[[#This Row],[CODIGO]]) - SUMIFS(TABLA_CIERRES[CANTIDAD],TABLA_CIERRES[Codigo],Tabla2[[#This Row],[CODIGO]])</f>
        <v>21</v>
      </c>
      <c r="I268" s="37">
        <v>1000</v>
      </c>
      <c r="J268" s="38">
        <f>Tabla2[[#This Row],[CANTIDAD CARGADAS]]*Tabla2[[#This Row],[COSTOS]]</f>
        <v>8400</v>
      </c>
    </row>
    <row r="269" spans="1:10" x14ac:dyDescent="0.25">
      <c r="A269" s="34">
        <v>290</v>
      </c>
      <c r="B269" s="35">
        <v>42030965</v>
      </c>
      <c r="C269" s="36">
        <v>44987</v>
      </c>
      <c r="D269" s="35" t="s">
        <v>26</v>
      </c>
      <c r="E269" s="18" t="s">
        <v>303</v>
      </c>
      <c r="F269" s="18">
        <v>3</v>
      </c>
      <c r="G269" s="28">
        <v>600</v>
      </c>
      <c r="H269" s="35">
        <f xml:space="preserve"> SUMIFS(Tabla2[CANTIDAD CARGADAS],Tabla2[CODIGO],Tabla2[[#This Row],[CODIGO]]) - SUMIFS(TABLA_CIERRES[CANTIDAD],TABLA_CIERRES[Codigo],Tabla2[[#This Row],[CODIGO]])</f>
        <v>3</v>
      </c>
      <c r="I269" s="37">
        <v>1400</v>
      </c>
      <c r="J269" s="38">
        <f>Tabla2[[#This Row],[CANTIDAD CARGADAS]]*Tabla2[[#This Row],[COSTOS]]</f>
        <v>1800</v>
      </c>
    </row>
    <row r="270" spans="1:10" x14ac:dyDescent="0.25">
      <c r="A270" s="34">
        <v>291</v>
      </c>
      <c r="B270" s="35">
        <v>896426105</v>
      </c>
      <c r="C270" s="36">
        <v>44987</v>
      </c>
      <c r="D270" s="35" t="s">
        <v>26</v>
      </c>
      <c r="E270" s="18" t="s">
        <v>304</v>
      </c>
      <c r="F270" s="18">
        <v>21</v>
      </c>
      <c r="G270" s="28">
        <v>400</v>
      </c>
      <c r="H270" s="35">
        <f xml:space="preserve"> SUMIFS(Tabla2[CANTIDAD CARGADAS],Tabla2[CODIGO],Tabla2[[#This Row],[CODIGO]]) - SUMIFS(TABLA_CIERRES[CANTIDAD],TABLA_CIERRES[Codigo],Tabla2[[#This Row],[CODIGO]])</f>
        <v>20</v>
      </c>
      <c r="I270" s="37">
        <v>1000</v>
      </c>
      <c r="J270" s="38">
        <f>Tabla2[[#This Row],[CANTIDAD CARGADAS]]*Tabla2[[#This Row],[COSTOS]]</f>
        <v>8400</v>
      </c>
    </row>
    <row r="271" spans="1:10" x14ac:dyDescent="0.25">
      <c r="A271" s="34">
        <v>292</v>
      </c>
      <c r="B271" s="35">
        <v>840623078</v>
      </c>
      <c r="C271" s="36">
        <v>44987</v>
      </c>
      <c r="D271" s="35" t="s">
        <v>26</v>
      </c>
      <c r="E271" s="18" t="s">
        <v>305</v>
      </c>
      <c r="F271" s="18">
        <v>2</v>
      </c>
      <c r="G271" s="28">
        <v>600</v>
      </c>
      <c r="H271" s="35">
        <f xml:space="preserve"> SUMIFS(Tabla2[CANTIDAD CARGADAS],Tabla2[CODIGO],Tabla2[[#This Row],[CODIGO]]) - SUMIFS(TABLA_CIERRES[CANTIDAD],TABLA_CIERRES[Codigo],Tabla2[[#This Row],[CODIGO]])</f>
        <v>2</v>
      </c>
      <c r="I271" s="37">
        <v>1400</v>
      </c>
      <c r="J271" s="38">
        <f>Tabla2[[#This Row],[CANTIDAD CARGADAS]]*Tabla2[[#This Row],[COSTOS]]</f>
        <v>1200</v>
      </c>
    </row>
    <row r="272" spans="1:10" x14ac:dyDescent="0.25">
      <c r="A272" s="34">
        <v>293</v>
      </c>
      <c r="B272" s="35">
        <v>922877583</v>
      </c>
      <c r="C272" s="36">
        <v>44987</v>
      </c>
      <c r="D272" s="35" t="s">
        <v>26</v>
      </c>
      <c r="E272" s="18" t="s">
        <v>306</v>
      </c>
      <c r="F272" s="18">
        <v>3</v>
      </c>
      <c r="G272" s="28">
        <v>600</v>
      </c>
      <c r="H272" s="35">
        <f xml:space="preserve"> SUMIFS(Tabla2[CANTIDAD CARGADAS],Tabla2[CODIGO],Tabla2[[#This Row],[CODIGO]]) - SUMIFS(TABLA_CIERRES[CANTIDAD],TABLA_CIERRES[Codigo],Tabla2[[#This Row],[CODIGO]])</f>
        <v>3</v>
      </c>
      <c r="I272" s="37">
        <v>1400</v>
      </c>
      <c r="J272" s="38">
        <f>Tabla2[[#This Row],[CANTIDAD CARGADAS]]*Tabla2[[#This Row],[COSTOS]]</f>
        <v>1800</v>
      </c>
    </row>
    <row r="273" spans="1:10" x14ac:dyDescent="0.25">
      <c r="A273" s="34">
        <v>294</v>
      </c>
      <c r="B273" s="35">
        <v>966274724</v>
      </c>
      <c r="C273" s="36">
        <v>44987</v>
      </c>
      <c r="D273" s="35" t="s">
        <v>26</v>
      </c>
      <c r="E273" s="18" t="s">
        <v>307</v>
      </c>
      <c r="F273" s="18">
        <v>3</v>
      </c>
      <c r="G273" s="28">
        <v>600</v>
      </c>
      <c r="H273" s="35">
        <f xml:space="preserve"> SUMIFS(Tabla2[CANTIDAD CARGADAS],Tabla2[CODIGO],Tabla2[[#This Row],[CODIGO]]) - SUMIFS(TABLA_CIERRES[CANTIDAD],TABLA_CIERRES[Codigo],Tabla2[[#This Row],[CODIGO]])</f>
        <v>2</v>
      </c>
      <c r="I273" s="37">
        <v>1400</v>
      </c>
      <c r="J273" s="38">
        <f>Tabla2[[#This Row],[CANTIDAD CARGADAS]]*Tabla2[[#This Row],[COSTOS]]</f>
        <v>1800</v>
      </c>
    </row>
    <row r="274" spans="1:10" x14ac:dyDescent="0.25">
      <c r="A274" s="34">
        <v>295</v>
      </c>
      <c r="B274" s="35">
        <v>629959596</v>
      </c>
      <c r="C274" s="36">
        <v>44987</v>
      </c>
      <c r="D274" s="35" t="s">
        <v>26</v>
      </c>
      <c r="E274" s="18" t="s">
        <v>308</v>
      </c>
      <c r="F274" s="18">
        <v>3</v>
      </c>
      <c r="G274" s="28">
        <v>600</v>
      </c>
      <c r="H274" s="35">
        <f xml:space="preserve"> SUMIFS(Tabla2[CANTIDAD CARGADAS],Tabla2[CODIGO],Tabla2[[#This Row],[CODIGO]]) - SUMIFS(TABLA_CIERRES[CANTIDAD],TABLA_CIERRES[Codigo],Tabla2[[#This Row],[CODIGO]])</f>
        <v>3</v>
      </c>
      <c r="I274" s="37">
        <v>1400</v>
      </c>
      <c r="J274" s="38">
        <f>Tabla2[[#This Row],[CANTIDAD CARGADAS]]*Tabla2[[#This Row],[COSTOS]]</f>
        <v>1800</v>
      </c>
    </row>
    <row r="275" spans="1:10" x14ac:dyDescent="0.25">
      <c r="A275" s="34">
        <v>296</v>
      </c>
      <c r="B275" s="35">
        <v>255526788</v>
      </c>
      <c r="C275" s="36">
        <v>44987</v>
      </c>
      <c r="D275" s="35" t="s">
        <v>26</v>
      </c>
      <c r="E275" s="18" t="s">
        <v>309</v>
      </c>
      <c r="F275" s="18">
        <v>25</v>
      </c>
      <c r="G275" s="28">
        <v>400</v>
      </c>
      <c r="H275" s="35">
        <f xml:space="preserve"> SUMIFS(Tabla2[CANTIDAD CARGADAS],Tabla2[CODIGO],Tabla2[[#This Row],[CODIGO]]) - SUMIFS(TABLA_CIERRES[CANTIDAD],TABLA_CIERRES[Codigo],Tabla2[[#This Row],[CODIGO]])</f>
        <v>24</v>
      </c>
      <c r="I275" s="37">
        <v>1000</v>
      </c>
      <c r="J275" s="38">
        <f>Tabla2[[#This Row],[CANTIDAD CARGADAS]]*Tabla2[[#This Row],[COSTOS]]</f>
        <v>10000</v>
      </c>
    </row>
    <row r="276" spans="1:10" x14ac:dyDescent="0.25">
      <c r="A276" s="34">
        <v>297</v>
      </c>
      <c r="B276" s="35">
        <v>974729142</v>
      </c>
      <c r="C276" s="36">
        <v>44987</v>
      </c>
      <c r="D276" s="35" t="s">
        <v>26</v>
      </c>
      <c r="E276" s="18" t="s">
        <v>310</v>
      </c>
      <c r="F276" s="18">
        <v>3</v>
      </c>
      <c r="G276" s="28">
        <v>600</v>
      </c>
      <c r="H276" s="35">
        <f xml:space="preserve"> SUMIFS(Tabla2[CANTIDAD CARGADAS],Tabla2[CODIGO],Tabla2[[#This Row],[CODIGO]]) - SUMIFS(TABLA_CIERRES[CANTIDAD],TABLA_CIERRES[Codigo],Tabla2[[#This Row],[CODIGO]])</f>
        <v>3</v>
      </c>
      <c r="I276" s="37">
        <v>1400</v>
      </c>
      <c r="J276" s="38">
        <f>Tabla2[[#This Row],[CANTIDAD CARGADAS]]*Tabla2[[#This Row],[COSTOS]]</f>
        <v>1800</v>
      </c>
    </row>
    <row r="277" spans="1:10" x14ac:dyDescent="0.25">
      <c r="A277" s="34">
        <v>298</v>
      </c>
      <c r="B277" s="35">
        <v>963764367</v>
      </c>
      <c r="C277" s="36">
        <v>44987</v>
      </c>
      <c r="D277" s="35" t="s">
        <v>26</v>
      </c>
      <c r="E277" s="18" t="s">
        <v>311</v>
      </c>
      <c r="F277" s="18">
        <v>3</v>
      </c>
      <c r="G277" s="28">
        <v>600</v>
      </c>
      <c r="H277" s="35">
        <f xml:space="preserve"> SUMIFS(Tabla2[CANTIDAD CARGADAS],Tabla2[CODIGO],Tabla2[[#This Row],[CODIGO]]) - SUMIFS(TABLA_CIERRES[CANTIDAD],TABLA_CIERRES[Codigo],Tabla2[[#This Row],[CODIGO]])</f>
        <v>3</v>
      </c>
      <c r="I277" s="37">
        <v>1400</v>
      </c>
      <c r="J277" s="38">
        <f>Tabla2[[#This Row],[CANTIDAD CARGADAS]]*Tabla2[[#This Row],[COSTOS]]</f>
        <v>1800</v>
      </c>
    </row>
    <row r="278" spans="1:10" x14ac:dyDescent="0.25">
      <c r="A278" s="34">
        <v>299</v>
      </c>
      <c r="B278" s="35">
        <v>790331628</v>
      </c>
      <c r="C278" s="36">
        <v>44987</v>
      </c>
      <c r="D278" s="35" t="s">
        <v>26</v>
      </c>
      <c r="E278" s="18" t="s">
        <v>312</v>
      </c>
      <c r="F278" s="18">
        <v>3</v>
      </c>
      <c r="G278" s="28">
        <v>600</v>
      </c>
      <c r="H278" s="35">
        <f xml:space="preserve"> SUMIFS(Tabla2[CANTIDAD CARGADAS],Tabla2[CODIGO],Tabla2[[#This Row],[CODIGO]]) - SUMIFS(TABLA_CIERRES[CANTIDAD],TABLA_CIERRES[Codigo],Tabla2[[#This Row],[CODIGO]])</f>
        <v>3</v>
      </c>
      <c r="I278" s="37">
        <v>1400</v>
      </c>
      <c r="J278" s="38">
        <f>Tabla2[[#This Row],[CANTIDAD CARGADAS]]*Tabla2[[#This Row],[COSTOS]]</f>
        <v>1800</v>
      </c>
    </row>
    <row r="279" spans="1:10" x14ac:dyDescent="0.25">
      <c r="A279" s="34">
        <v>300</v>
      </c>
      <c r="B279" s="35">
        <v>974729143</v>
      </c>
      <c r="C279" s="36">
        <v>44987</v>
      </c>
      <c r="D279" s="35" t="s">
        <v>26</v>
      </c>
      <c r="E279" s="18" t="s">
        <v>313</v>
      </c>
      <c r="F279" s="18">
        <v>1</v>
      </c>
      <c r="G279" s="28">
        <v>600</v>
      </c>
      <c r="H279" s="35">
        <f xml:space="preserve"> SUMIFS(Tabla2[CANTIDAD CARGADAS],Tabla2[CODIGO],Tabla2[[#This Row],[CODIGO]]) - SUMIFS(TABLA_CIERRES[CANTIDAD],TABLA_CIERRES[Codigo],Tabla2[[#This Row],[CODIGO]])</f>
        <v>1</v>
      </c>
      <c r="I279" s="37">
        <v>1400</v>
      </c>
      <c r="J279" s="38">
        <f>Tabla2[[#This Row],[CANTIDAD CARGADAS]]*Tabla2[[#This Row],[COSTOS]]</f>
        <v>600</v>
      </c>
    </row>
    <row r="280" spans="1:10" x14ac:dyDescent="0.25">
      <c r="A280" s="34">
        <v>301</v>
      </c>
      <c r="B280" s="35">
        <v>922877584</v>
      </c>
      <c r="C280" s="36">
        <v>44987</v>
      </c>
      <c r="D280" s="35" t="s">
        <v>26</v>
      </c>
      <c r="E280" s="18" t="s">
        <v>314</v>
      </c>
      <c r="F280" s="18">
        <v>3</v>
      </c>
      <c r="G280" s="28">
        <v>600</v>
      </c>
      <c r="H280" s="35">
        <f xml:space="preserve"> SUMIFS(Tabla2[CANTIDAD CARGADAS],Tabla2[CODIGO],Tabla2[[#This Row],[CODIGO]]) - SUMIFS(TABLA_CIERRES[CANTIDAD],TABLA_CIERRES[Codigo],Tabla2[[#This Row],[CODIGO]])</f>
        <v>3</v>
      </c>
      <c r="I280" s="37">
        <v>1400</v>
      </c>
      <c r="J280" s="38">
        <f>Tabla2[[#This Row],[CANTIDAD CARGADAS]]*Tabla2[[#This Row],[COSTOS]]</f>
        <v>1800</v>
      </c>
    </row>
    <row r="281" spans="1:10" x14ac:dyDescent="0.25">
      <c r="A281" s="34">
        <v>302</v>
      </c>
      <c r="B281" s="35">
        <v>993340491</v>
      </c>
      <c r="C281" s="36">
        <v>44987</v>
      </c>
      <c r="D281" s="35" t="s">
        <v>26</v>
      </c>
      <c r="E281" s="18" t="s">
        <v>315</v>
      </c>
      <c r="F281" s="18">
        <v>3</v>
      </c>
      <c r="G281" s="28">
        <v>600</v>
      </c>
      <c r="H281" s="35">
        <f xml:space="preserve"> SUMIFS(Tabla2[CANTIDAD CARGADAS],Tabla2[CODIGO],Tabla2[[#This Row],[CODIGO]]) - SUMIFS(TABLA_CIERRES[CANTIDAD],TABLA_CIERRES[Codigo],Tabla2[[#This Row],[CODIGO]])</f>
        <v>3</v>
      </c>
      <c r="I281" s="37">
        <v>1400</v>
      </c>
      <c r="J281" s="38">
        <f>Tabla2[[#This Row],[CANTIDAD CARGADAS]]*Tabla2[[#This Row],[COSTOS]]</f>
        <v>1800</v>
      </c>
    </row>
    <row r="282" spans="1:10" x14ac:dyDescent="0.25">
      <c r="A282" s="34">
        <v>303</v>
      </c>
      <c r="B282" s="35">
        <v>659890160</v>
      </c>
      <c r="C282" s="36">
        <v>44987</v>
      </c>
      <c r="D282" s="35" t="s">
        <v>26</v>
      </c>
      <c r="E282" s="18" t="s">
        <v>316</v>
      </c>
      <c r="F282" s="18">
        <v>41</v>
      </c>
      <c r="G282" s="28">
        <v>400</v>
      </c>
      <c r="H282" s="35">
        <f xml:space="preserve"> SUMIFS(Tabla2[CANTIDAD CARGADAS],Tabla2[CODIGO],Tabla2[[#This Row],[CODIGO]]) - SUMIFS(TABLA_CIERRES[CANTIDAD],TABLA_CIERRES[Codigo],Tabla2[[#This Row],[CODIGO]])</f>
        <v>41</v>
      </c>
      <c r="I282" s="37">
        <v>1000</v>
      </c>
      <c r="J282" s="38">
        <f>Tabla2[[#This Row],[CANTIDAD CARGADAS]]*Tabla2[[#This Row],[COSTOS]]</f>
        <v>16400</v>
      </c>
    </row>
    <row r="283" spans="1:10" x14ac:dyDescent="0.25">
      <c r="A283" s="34">
        <v>304</v>
      </c>
      <c r="B283" s="35">
        <v>840623079</v>
      </c>
      <c r="C283" s="36">
        <v>44987</v>
      </c>
      <c r="D283" s="35" t="s">
        <v>188</v>
      </c>
      <c r="E283" s="18" t="s">
        <v>317</v>
      </c>
      <c r="F283" s="18">
        <v>28</v>
      </c>
      <c r="G283" s="28">
        <v>250</v>
      </c>
      <c r="H283" s="35">
        <f xml:space="preserve"> SUMIFS(Tabla2[CANTIDAD CARGADAS],Tabla2[CODIGO],Tabla2[[#This Row],[CODIGO]]) - SUMIFS(TABLA_CIERRES[CANTIDAD],TABLA_CIERRES[Codigo],Tabla2[[#This Row],[CODIGO]])</f>
        <v>27</v>
      </c>
      <c r="I283" s="37">
        <v>700</v>
      </c>
      <c r="J283" s="38">
        <f>Tabla2[[#This Row],[CANTIDAD CARGADAS]]*Tabla2[[#This Row],[COSTOS]]</f>
        <v>7000</v>
      </c>
    </row>
    <row r="284" spans="1:10" x14ac:dyDescent="0.25">
      <c r="A284" s="34">
        <v>305</v>
      </c>
      <c r="B284" s="35">
        <v>149780314</v>
      </c>
      <c r="C284" s="36">
        <v>44987</v>
      </c>
      <c r="D284" s="35" t="s">
        <v>26</v>
      </c>
      <c r="E284" s="18" t="s">
        <v>318</v>
      </c>
      <c r="F284" s="18">
        <v>9</v>
      </c>
      <c r="G284" s="28">
        <v>400</v>
      </c>
      <c r="H284" s="35">
        <f xml:space="preserve"> SUMIFS(Tabla2[CANTIDAD CARGADAS],Tabla2[CODIGO],Tabla2[[#This Row],[CODIGO]]) - SUMIFS(TABLA_CIERRES[CANTIDAD],TABLA_CIERRES[Codigo],Tabla2[[#This Row],[CODIGO]])</f>
        <v>9</v>
      </c>
      <c r="I284" s="37">
        <v>1000</v>
      </c>
      <c r="J284" s="38">
        <f>Tabla2[[#This Row],[CANTIDAD CARGADAS]]*Tabla2[[#This Row],[COSTOS]]</f>
        <v>3600</v>
      </c>
    </row>
    <row r="285" spans="1:10" x14ac:dyDescent="0.25">
      <c r="A285" s="34">
        <v>306</v>
      </c>
      <c r="B285" s="35">
        <v>694427908</v>
      </c>
      <c r="C285" s="36">
        <v>44987</v>
      </c>
      <c r="D285" s="35" t="s">
        <v>26</v>
      </c>
      <c r="E285" s="18" t="s">
        <v>319</v>
      </c>
      <c r="F285" s="18">
        <v>16</v>
      </c>
      <c r="G285" s="28">
        <v>400</v>
      </c>
      <c r="H285" s="35">
        <f xml:space="preserve"> SUMIFS(Tabla2[CANTIDAD CARGADAS],Tabla2[CODIGO],Tabla2[[#This Row],[CODIGO]]) - SUMIFS(TABLA_CIERRES[CANTIDAD],TABLA_CIERRES[Codigo],Tabla2[[#This Row],[CODIGO]])</f>
        <v>15</v>
      </c>
      <c r="I285" s="37">
        <v>1000</v>
      </c>
      <c r="J285" s="38">
        <f>Tabla2[[#This Row],[CANTIDAD CARGADAS]]*Tabla2[[#This Row],[COSTOS]]</f>
        <v>6400</v>
      </c>
    </row>
    <row r="286" spans="1:10" x14ac:dyDescent="0.25">
      <c r="A286" s="34">
        <v>307</v>
      </c>
      <c r="B286" s="35">
        <v>790331629</v>
      </c>
      <c r="C286" s="36">
        <v>44987</v>
      </c>
      <c r="D286" s="35" t="s">
        <v>26</v>
      </c>
      <c r="E286" s="18" t="s">
        <v>320</v>
      </c>
      <c r="F286" s="18">
        <v>4</v>
      </c>
      <c r="G286" s="28">
        <v>200</v>
      </c>
      <c r="H286" s="35">
        <f xml:space="preserve"> SUMIFS(Tabla2[CANTIDAD CARGADAS],Tabla2[CODIGO],Tabla2[[#This Row],[CODIGO]]) - SUMIFS(TABLA_CIERRES[CANTIDAD],TABLA_CIERRES[Codigo],Tabla2[[#This Row],[CODIGO]])</f>
        <v>4</v>
      </c>
      <c r="I286" s="37">
        <v>600</v>
      </c>
      <c r="J286" s="38">
        <f>Tabla2[[#This Row],[CANTIDAD CARGADAS]]*Tabla2[[#This Row],[COSTOS]]</f>
        <v>800</v>
      </c>
    </row>
    <row r="287" spans="1:10" x14ac:dyDescent="0.25">
      <c r="A287" s="34">
        <v>308</v>
      </c>
      <c r="B287" s="35">
        <v>629959597</v>
      </c>
      <c r="C287" s="36">
        <v>44987</v>
      </c>
      <c r="D287" s="35" t="s">
        <v>26</v>
      </c>
      <c r="E287" s="18" t="s">
        <v>321</v>
      </c>
      <c r="F287" s="18">
        <v>1</v>
      </c>
      <c r="G287" s="28">
        <v>600</v>
      </c>
      <c r="H287" s="35">
        <f xml:space="preserve"> SUMIFS(Tabla2[CANTIDAD CARGADAS],Tabla2[CODIGO],Tabla2[[#This Row],[CODIGO]]) - SUMIFS(TABLA_CIERRES[CANTIDAD],TABLA_CIERRES[Codigo],Tabla2[[#This Row],[CODIGO]])</f>
        <v>1</v>
      </c>
      <c r="I287" s="37">
        <v>1400</v>
      </c>
      <c r="J287" s="38">
        <f>Tabla2[[#This Row],[CANTIDAD CARGADAS]]*Tabla2[[#This Row],[COSTOS]]</f>
        <v>600</v>
      </c>
    </row>
    <row r="288" spans="1:10" x14ac:dyDescent="0.25">
      <c r="A288" s="34">
        <v>309</v>
      </c>
      <c r="B288" s="35">
        <v>308662960</v>
      </c>
      <c r="C288" s="36">
        <v>44987</v>
      </c>
      <c r="D288" s="35" t="s">
        <v>26</v>
      </c>
      <c r="E288" s="18" t="s">
        <v>322</v>
      </c>
      <c r="F288" s="18">
        <v>17</v>
      </c>
      <c r="G288" s="28">
        <v>400</v>
      </c>
      <c r="H288" s="35">
        <f xml:space="preserve"> SUMIFS(Tabla2[CANTIDAD CARGADAS],Tabla2[CODIGO],Tabla2[[#This Row],[CODIGO]]) - SUMIFS(TABLA_CIERRES[CANTIDAD],TABLA_CIERRES[Codigo],Tabla2[[#This Row],[CODIGO]])</f>
        <v>17</v>
      </c>
      <c r="I288" s="37">
        <v>1000</v>
      </c>
      <c r="J288" s="38">
        <f>Tabla2[[#This Row],[CANTIDAD CARGADAS]]*Tabla2[[#This Row],[COSTOS]]</f>
        <v>6800</v>
      </c>
    </row>
    <row r="289" spans="1:10" x14ac:dyDescent="0.25">
      <c r="A289" s="34">
        <v>310</v>
      </c>
      <c r="B289" s="35">
        <v>389489992</v>
      </c>
      <c r="C289" s="36">
        <v>44987</v>
      </c>
      <c r="D289" s="35" t="s">
        <v>26</v>
      </c>
      <c r="E289" s="18" t="s">
        <v>323</v>
      </c>
      <c r="F289" s="18">
        <v>4</v>
      </c>
      <c r="G289" s="28">
        <v>600</v>
      </c>
      <c r="H289" s="35">
        <f xml:space="preserve"> SUMIFS(Tabla2[CANTIDAD CARGADAS],Tabla2[CODIGO],Tabla2[[#This Row],[CODIGO]]) - SUMIFS(TABLA_CIERRES[CANTIDAD],TABLA_CIERRES[Codigo],Tabla2[[#This Row],[CODIGO]])</f>
        <v>4</v>
      </c>
      <c r="I289" s="37">
        <v>1400</v>
      </c>
      <c r="J289" s="38">
        <f>Tabla2[[#This Row],[CANTIDAD CARGADAS]]*Tabla2[[#This Row],[COSTOS]]</f>
        <v>2400</v>
      </c>
    </row>
    <row r="290" spans="1:10" x14ac:dyDescent="0.25">
      <c r="A290" s="34">
        <v>311</v>
      </c>
      <c r="B290" s="35">
        <v>955450661</v>
      </c>
      <c r="C290" s="36">
        <v>44987</v>
      </c>
      <c r="D290" s="35" t="s">
        <v>26</v>
      </c>
      <c r="E290" s="18" t="s">
        <v>324</v>
      </c>
      <c r="F290" s="18">
        <v>30</v>
      </c>
      <c r="G290" s="28">
        <v>400</v>
      </c>
      <c r="H290" s="35">
        <f xml:space="preserve"> SUMIFS(Tabla2[CANTIDAD CARGADAS],Tabla2[CODIGO],Tabla2[[#This Row],[CODIGO]]) - SUMIFS(TABLA_CIERRES[CANTIDAD],TABLA_CIERRES[Codigo],Tabla2[[#This Row],[CODIGO]])</f>
        <v>29</v>
      </c>
      <c r="I290" s="37">
        <v>1000</v>
      </c>
      <c r="J290" s="38">
        <f>Tabla2[[#This Row],[CANTIDAD CARGADAS]]*Tabla2[[#This Row],[COSTOS]]</f>
        <v>12000</v>
      </c>
    </row>
    <row r="291" spans="1:10" x14ac:dyDescent="0.25">
      <c r="A291" s="34">
        <v>312</v>
      </c>
      <c r="B291" s="35">
        <v>773843983</v>
      </c>
      <c r="C291" s="36">
        <v>44987</v>
      </c>
      <c r="D291" s="35" t="s">
        <v>26</v>
      </c>
      <c r="E291" s="18" t="s">
        <v>325</v>
      </c>
      <c r="F291" s="18">
        <v>1</v>
      </c>
      <c r="G291" s="28">
        <v>600</v>
      </c>
      <c r="H291" s="35">
        <f xml:space="preserve"> SUMIFS(Tabla2[CANTIDAD CARGADAS],Tabla2[CODIGO],Tabla2[[#This Row],[CODIGO]]) - SUMIFS(TABLA_CIERRES[CANTIDAD],TABLA_CIERRES[Codigo],Tabla2[[#This Row],[CODIGO]])</f>
        <v>1</v>
      </c>
      <c r="I291" s="37">
        <v>1400</v>
      </c>
      <c r="J291" s="38">
        <f>Tabla2[[#This Row],[CANTIDAD CARGADAS]]*Tabla2[[#This Row],[COSTOS]]</f>
        <v>600</v>
      </c>
    </row>
    <row r="292" spans="1:10" x14ac:dyDescent="0.25">
      <c r="A292" s="34">
        <v>313</v>
      </c>
      <c r="B292" s="35">
        <v>839808036</v>
      </c>
      <c r="C292" s="36">
        <v>44987</v>
      </c>
      <c r="D292" s="35" t="s">
        <v>172</v>
      </c>
      <c r="E292" s="18" t="s">
        <v>326</v>
      </c>
      <c r="F292" s="18">
        <v>14</v>
      </c>
      <c r="G292" s="28">
        <v>100</v>
      </c>
      <c r="H292" s="35">
        <f xml:space="preserve"> SUMIFS(Tabla2[CANTIDAD CARGADAS],Tabla2[CODIGO],Tabla2[[#This Row],[CODIGO]]) - SUMIFS(TABLA_CIERRES[CANTIDAD],TABLA_CIERRES[Codigo],Tabla2[[#This Row],[CODIGO]])</f>
        <v>14</v>
      </c>
      <c r="I292" s="37">
        <v>400</v>
      </c>
      <c r="J292" s="38">
        <f>Tabla2[[#This Row],[CANTIDAD CARGADAS]]*Tabla2[[#This Row],[COSTOS]]</f>
        <v>1400</v>
      </c>
    </row>
    <row r="293" spans="1:10" x14ac:dyDescent="0.25">
      <c r="A293" s="34">
        <v>314</v>
      </c>
      <c r="B293" s="35">
        <v>227046257</v>
      </c>
      <c r="C293" s="36">
        <v>44987</v>
      </c>
      <c r="D293" s="35" t="s">
        <v>172</v>
      </c>
      <c r="E293" s="18" t="s">
        <v>327</v>
      </c>
      <c r="F293" s="18">
        <v>13</v>
      </c>
      <c r="G293" s="28">
        <v>100</v>
      </c>
      <c r="H293" s="35">
        <f xml:space="preserve"> SUMIFS(Tabla2[CANTIDAD CARGADAS],Tabla2[CODIGO],Tabla2[[#This Row],[CODIGO]]) - SUMIFS(TABLA_CIERRES[CANTIDAD],TABLA_CIERRES[Codigo],Tabla2[[#This Row],[CODIGO]])</f>
        <v>13</v>
      </c>
      <c r="I293" s="37">
        <v>400</v>
      </c>
      <c r="J293" s="38">
        <f>Tabla2[[#This Row],[CANTIDAD CARGADAS]]*Tabla2[[#This Row],[COSTOS]]</f>
        <v>1300</v>
      </c>
    </row>
    <row r="294" spans="1:10" x14ac:dyDescent="0.25">
      <c r="A294" s="34">
        <v>315</v>
      </c>
      <c r="B294" s="35">
        <v>858324872</v>
      </c>
      <c r="C294" s="36">
        <v>44987</v>
      </c>
      <c r="D294" s="35" t="s">
        <v>172</v>
      </c>
      <c r="E294" s="18" t="s">
        <v>328</v>
      </c>
      <c r="F294" s="18">
        <v>21</v>
      </c>
      <c r="G294" s="28">
        <v>100</v>
      </c>
      <c r="H294" s="35">
        <f xml:space="preserve"> SUMIFS(Tabla2[CANTIDAD CARGADAS],Tabla2[CODIGO],Tabla2[[#This Row],[CODIGO]]) - SUMIFS(TABLA_CIERRES[CANTIDAD],TABLA_CIERRES[Codigo],Tabla2[[#This Row],[CODIGO]])</f>
        <v>21</v>
      </c>
      <c r="I294" s="37">
        <v>400</v>
      </c>
      <c r="J294" s="38">
        <f>Tabla2[[#This Row],[CANTIDAD CARGADAS]]*Tabla2[[#This Row],[COSTOS]]</f>
        <v>2100</v>
      </c>
    </row>
    <row r="295" spans="1:10" x14ac:dyDescent="0.25">
      <c r="A295" s="34">
        <v>316</v>
      </c>
      <c r="B295" s="35">
        <v>444310037</v>
      </c>
      <c r="C295" s="36">
        <v>44987</v>
      </c>
      <c r="D295" s="35" t="s">
        <v>172</v>
      </c>
      <c r="E295" s="18" t="s">
        <v>329</v>
      </c>
      <c r="F295" s="18">
        <v>13</v>
      </c>
      <c r="G295" s="28">
        <v>100</v>
      </c>
      <c r="H295" s="35">
        <f xml:space="preserve"> SUMIFS(Tabla2[CANTIDAD CARGADAS],Tabla2[CODIGO],Tabla2[[#This Row],[CODIGO]]) - SUMIFS(TABLA_CIERRES[CANTIDAD],TABLA_CIERRES[Codigo],Tabla2[[#This Row],[CODIGO]])</f>
        <v>13</v>
      </c>
      <c r="I295" s="37">
        <v>400</v>
      </c>
      <c r="J295" s="38">
        <f>Tabla2[[#This Row],[CANTIDAD CARGADAS]]*Tabla2[[#This Row],[COSTOS]]</f>
        <v>1300</v>
      </c>
    </row>
    <row r="296" spans="1:10" x14ac:dyDescent="0.25">
      <c r="A296" s="34">
        <v>317</v>
      </c>
      <c r="B296" s="35">
        <v>277482650</v>
      </c>
      <c r="C296" s="36">
        <v>44987</v>
      </c>
      <c r="D296" s="35" t="s">
        <v>172</v>
      </c>
      <c r="E296" s="18" t="s">
        <v>330</v>
      </c>
      <c r="F296" s="18">
        <v>8</v>
      </c>
      <c r="G296" s="28">
        <v>100</v>
      </c>
      <c r="H296" s="35">
        <f xml:space="preserve"> SUMIFS(Tabla2[CANTIDAD CARGADAS],Tabla2[CODIGO],Tabla2[[#This Row],[CODIGO]]) - SUMIFS(TABLA_CIERRES[CANTIDAD],TABLA_CIERRES[Codigo],Tabla2[[#This Row],[CODIGO]])</f>
        <v>8</v>
      </c>
      <c r="I296" s="37">
        <v>400</v>
      </c>
      <c r="J296" s="38">
        <f>Tabla2[[#This Row],[CANTIDAD CARGADAS]]*Tabla2[[#This Row],[COSTOS]]</f>
        <v>800</v>
      </c>
    </row>
    <row r="297" spans="1:10" x14ac:dyDescent="0.25">
      <c r="A297" s="34">
        <v>318</v>
      </c>
      <c r="B297" s="35">
        <v>700092800</v>
      </c>
      <c r="C297" s="36">
        <v>44987</v>
      </c>
      <c r="D297" s="35" t="s">
        <v>172</v>
      </c>
      <c r="E297" s="18" t="s">
        <v>331</v>
      </c>
      <c r="F297" s="18">
        <v>41</v>
      </c>
      <c r="G297" s="28">
        <v>100</v>
      </c>
      <c r="H297" s="35">
        <f xml:space="preserve"> SUMIFS(Tabla2[CANTIDAD CARGADAS],Tabla2[CODIGO],Tabla2[[#This Row],[CODIGO]]) - SUMIFS(TABLA_CIERRES[CANTIDAD],TABLA_CIERRES[Codigo],Tabla2[[#This Row],[CODIGO]])</f>
        <v>41</v>
      </c>
      <c r="I297" s="37">
        <v>400</v>
      </c>
      <c r="J297" s="38">
        <f>Tabla2[[#This Row],[CANTIDAD CARGADAS]]*Tabla2[[#This Row],[COSTOS]]</f>
        <v>4100</v>
      </c>
    </row>
    <row r="298" spans="1:10" x14ac:dyDescent="0.25">
      <c r="A298" s="34">
        <v>319</v>
      </c>
      <c r="B298" s="35">
        <v>839808037</v>
      </c>
      <c r="C298" s="36">
        <v>44987</v>
      </c>
      <c r="D298" s="35" t="s">
        <v>172</v>
      </c>
      <c r="E298" s="18" t="s">
        <v>332</v>
      </c>
      <c r="F298" s="18">
        <v>6</v>
      </c>
      <c r="G298" s="28">
        <v>100</v>
      </c>
      <c r="H298" s="35">
        <f xml:space="preserve"> SUMIFS(Tabla2[CANTIDAD CARGADAS],Tabla2[CODIGO],Tabla2[[#This Row],[CODIGO]]) - SUMIFS(TABLA_CIERRES[CANTIDAD],TABLA_CIERRES[Codigo],Tabla2[[#This Row],[CODIGO]])</f>
        <v>6</v>
      </c>
      <c r="I298" s="37">
        <v>400</v>
      </c>
      <c r="J298" s="38">
        <f>Tabla2[[#This Row],[CANTIDAD CARGADAS]]*Tabla2[[#This Row],[COSTOS]]</f>
        <v>600</v>
      </c>
    </row>
    <row r="299" spans="1:10" x14ac:dyDescent="0.25">
      <c r="A299" s="34">
        <v>320</v>
      </c>
      <c r="B299" s="35">
        <v>355459685</v>
      </c>
      <c r="C299" s="36">
        <v>44987</v>
      </c>
      <c r="D299" s="35" t="s">
        <v>172</v>
      </c>
      <c r="E299" s="18" t="s">
        <v>333</v>
      </c>
      <c r="F299" s="18">
        <v>28</v>
      </c>
      <c r="G299" s="28">
        <v>100</v>
      </c>
      <c r="H299" s="35">
        <f xml:space="preserve"> SUMIFS(Tabla2[CANTIDAD CARGADAS],Tabla2[CODIGO],Tabla2[[#This Row],[CODIGO]]) - SUMIFS(TABLA_CIERRES[CANTIDAD],TABLA_CIERRES[Codigo],Tabla2[[#This Row],[CODIGO]])</f>
        <v>28</v>
      </c>
      <c r="I299" s="37">
        <v>400</v>
      </c>
      <c r="J299" s="38">
        <f>Tabla2[[#This Row],[CANTIDAD CARGADAS]]*Tabla2[[#This Row],[COSTOS]]</f>
        <v>2800</v>
      </c>
    </row>
    <row r="300" spans="1:10" x14ac:dyDescent="0.25">
      <c r="A300" s="34">
        <v>321</v>
      </c>
      <c r="B300" s="35">
        <v>879624237</v>
      </c>
      <c r="C300" s="36">
        <v>44987</v>
      </c>
      <c r="D300" s="35" t="s">
        <v>172</v>
      </c>
      <c r="E300" s="18" t="s">
        <v>334</v>
      </c>
      <c r="F300" s="18">
        <v>6</v>
      </c>
      <c r="G300" s="28">
        <v>100</v>
      </c>
      <c r="H300" s="35">
        <f xml:space="preserve"> SUMIFS(Tabla2[CANTIDAD CARGADAS],Tabla2[CODIGO],Tabla2[[#This Row],[CODIGO]]) - SUMIFS(TABLA_CIERRES[CANTIDAD],TABLA_CIERRES[Codigo],Tabla2[[#This Row],[CODIGO]])</f>
        <v>6</v>
      </c>
      <c r="I300" s="37">
        <v>400</v>
      </c>
      <c r="J300" s="38">
        <f>Tabla2[[#This Row],[CANTIDAD CARGADAS]]*Tabla2[[#This Row],[COSTOS]]</f>
        <v>600</v>
      </c>
    </row>
    <row r="301" spans="1:10" x14ac:dyDescent="0.25">
      <c r="A301" s="34">
        <v>322</v>
      </c>
      <c r="B301" s="35">
        <v>374659860</v>
      </c>
      <c r="C301" s="36">
        <v>44987</v>
      </c>
      <c r="D301" s="35" t="s">
        <v>172</v>
      </c>
      <c r="E301" s="18" t="s">
        <v>335</v>
      </c>
      <c r="F301" s="18">
        <v>18</v>
      </c>
      <c r="G301" s="28">
        <v>100</v>
      </c>
      <c r="H301" s="35">
        <f xml:space="preserve"> SUMIFS(Tabla2[CANTIDAD CARGADAS],Tabla2[CODIGO],Tabla2[[#This Row],[CODIGO]]) - SUMIFS(TABLA_CIERRES[CANTIDAD],TABLA_CIERRES[Codigo],Tabla2[[#This Row],[CODIGO]])</f>
        <v>17</v>
      </c>
      <c r="I301" s="37">
        <v>400</v>
      </c>
      <c r="J301" s="38">
        <f>Tabla2[[#This Row],[CANTIDAD CARGADAS]]*Tabla2[[#This Row],[COSTOS]]</f>
        <v>1800</v>
      </c>
    </row>
    <row r="302" spans="1:10" x14ac:dyDescent="0.25">
      <c r="A302" s="34">
        <v>323</v>
      </c>
      <c r="B302" s="35">
        <v>546639446</v>
      </c>
      <c r="C302" s="36">
        <v>44987</v>
      </c>
      <c r="D302" s="35" t="s">
        <v>172</v>
      </c>
      <c r="E302" s="18" t="s">
        <v>336</v>
      </c>
      <c r="F302" s="18">
        <v>20</v>
      </c>
      <c r="G302" s="28">
        <v>100</v>
      </c>
      <c r="H302" s="35">
        <f xml:space="preserve"> SUMIFS(Tabla2[CANTIDAD CARGADAS],Tabla2[CODIGO],Tabla2[[#This Row],[CODIGO]]) - SUMIFS(TABLA_CIERRES[CANTIDAD],TABLA_CIERRES[Codigo],Tabla2[[#This Row],[CODIGO]])</f>
        <v>20</v>
      </c>
      <c r="I302" s="37">
        <v>400</v>
      </c>
      <c r="J302" s="38">
        <f>Tabla2[[#This Row],[CANTIDAD CARGADAS]]*Tabla2[[#This Row],[COSTOS]]</f>
        <v>2000</v>
      </c>
    </row>
    <row r="303" spans="1:10" x14ac:dyDescent="0.25">
      <c r="A303" s="34">
        <v>324</v>
      </c>
      <c r="B303" s="35">
        <v>906308739</v>
      </c>
      <c r="C303" s="36">
        <v>44987</v>
      </c>
      <c r="D303" s="35" t="s">
        <v>172</v>
      </c>
      <c r="E303" s="18" t="s">
        <v>337</v>
      </c>
      <c r="F303" s="18">
        <v>12</v>
      </c>
      <c r="G303" s="28">
        <v>100</v>
      </c>
      <c r="H303" s="35">
        <f xml:space="preserve"> SUMIFS(Tabla2[CANTIDAD CARGADAS],Tabla2[CODIGO],Tabla2[[#This Row],[CODIGO]]) - SUMIFS(TABLA_CIERRES[CANTIDAD],TABLA_CIERRES[Codigo],Tabla2[[#This Row],[CODIGO]])</f>
        <v>12</v>
      </c>
      <c r="I303" s="37">
        <v>400</v>
      </c>
      <c r="J303" s="38">
        <f>Tabla2[[#This Row],[CANTIDAD CARGADAS]]*Tabla2[[#This Row],[COSTOS]]</f>
        <v>1200</v>
      </c>
    </row>
    <row r="304" spans="1:10" x14ac:dyDescent="0.25">
      <c r="A304" s="34">
        <v>325</v>
      </c>
      <c r="B304" s="35">
        <v>466307989</v>
      </c>
      <c r="C304" s="36">
        <v>44987</v>
      </c>
      <c r="D304" s="35" t="s">
        <v>182</v>
      </c>
      <c r="E304" s="18" t="s">
        <v>338</v>
      </c>
      <c r="F304" s="18">
        <v>20</v>
      </c>
      <c r="G304" s="28">
        <v>300</v>
      </c>
      <c r="H304" s="35">
        <f xml:space="preserve"> SUMIFS(Tabla2[CANTIDAD CARGADAS],Tabla2[CODIGO],Tabla2[[#This Row],[CODIGO]]) - SUMIFS(TABLA_CIERRES[CANTIDAD],TABLA_CIERRES[Codigo],Tabla2[[#This Row],[CODIGO]])</f>
        <v>17</v>
      </c>
      <c r="I304" s="37">
        <v>800</v>
      </c>
      <c r="J304" s="38">
        <f>Tabla2[[#This Row],[CANTIDAD CARGADAS]]*Tabla2[[#This Row],[COSTOS]]</f>
        <v>6000</v>
      </c>
    </row>
    <row r="305" spans="1:10" x14ac:dyDescent="0.25">
      <c r="A305" s="34">
        <v>326</v>
      </c>
      <c r="B305" s="35">
        <v>682246906</v>
      </c>
      <c r="C305" s="36">
        <v>44987</v>
      </c>
      <c r="D305" s="35" t="s">
        <v>182</v>
      </c>
      <c r="E305" s="18" t="s">
        <v>339</v>
      </c>
      <c r="F305" s="18">
        <v>13</v>
      </c>
      <c r="G305" s="28">
        <v>1000</v>
      </c>
      <c r="H305" s="35">
        <f xml:space="preserve"> SUMIFS(Tabla2[CANTIDAD CARGADAS],Tabla2[CODIGO],Tabla2[[#This Row],[CODIGO]]) - SUMIFS(TABLA_CIERRES[CANTIDAD],TABLA_CIERRES[Codigo],Tabla2[[#This Row],[CODIGO]])</f>
        <v>13</v>
      </c>
      <c r="I305" s="37">
        <v>2000</v>
      </c>
      <c r="J305" s="38">
        <f>Tabla2[[#This Row],[CANTIDAD CARGADAS]]*Tabla2[[#This Row],[COSTOS]]</f>
        <v>13000</v>
      </c>
    </row>
    <row r="306" spans="1:10" x14ac:dyDescent="0.25">
      <c r="A306" s="34">
        <v>327</v>
      </c>
      <c r="B306" s="35">
        <v>744907177</v>
      </c>
      <c r="C306" s="36">
        <v>44987</v>
      </c>
      <c r="D306" s="35" t="s">
        <v>172</v>
      </c>
      <c r="E306" s="18" t="s">
        <v>340</v>
      </c>
      <c r="F306" s="18">
        <v>29</v>
      </c>
      <c r="G306" s="28">
        <v>100</v>
      </c>
      <c r="H306" s="35">
        <f xml:space="preserve"> SUMIFS(Tabla2[CANTIDAD CARGADAS],Tabla2[CODIGO],Tabla2[[#This Row],[CODIGO]]) - SUMIFS(TABLA_CIERRES[CANTIDAD],TABLA_CIERRES[Codigo],Tabla2[[#This Row],[CODIGO]])</f>
        <v>29</v>
      </c>
      <c r="I306" s="37">
        <v>400</v>
      </c>
      <c r="J306" s="38">
        <f>Tabla2[[#This Row],[CANTIDAD CARGADAS]]*Tabla2[[#This Row],[COSTOS]]</f>
        <v>2900</v>
      </c>
    </row>
    <row r="307" spans="1:10" x14ac:dyDescent="0.25">
      <c r="A307" s="34">
        <v>328</v>
      </c>
      <c r="B307" s="35">
        <v>829996582</v>
      </c>
      <c r="C307" s="36">
        <v>44987</v>
      </c>
      <c r="D307" s="35" t="s">
        <v>172</v>
      </c>
      <c r="E307" s="18" t="s">
        <v>341</v>
      </c>
      <c r="F307" s="18">
        <v>8</v>
      </c>
      <c r="G307" s="28">
        <v>100</v>
      </c>
      <c r="H307" s="35">
        <f xml:space="preserve"> SUMIFS(Tabla2[CANTIDAD CARGADAS],Tabla2[CODIGO],Tabla2[[#This Row],[CODIGO]]) - SUMIFS(TABLA_CIERRES[CANTIDAD],TABLA_CIERRES[Codigo],Tabla2[[#This Row],[CODIGO]])</f>
        <v>8</v>
      </c>
      <c r="I307" s="37">
        <v>400</v>
      </c>
      <c r="J307" s="38">
        <f>Tabla2[[#This Row],[CANTIDAD CARGADAS]]*Tabla2[[#This Row],[COSTOS]]</f>
        <v>800</v>
      </c>
    </row>
    <row r="308" spans="1:10" x14ac:dyDescent="0.25">
      <c r="A308" s="34">
        <v>329</v>
      </c>
      <c r="B308" s="35">
        <v>374659861</v>
      </c>
      <c r="C308" s="36">
        <v>44987</v>
      </c>
      <c r="D308" s="35" t="s">
        <v>172</v>
      </c>
      <c r="E308" s="18" t="s">
        <v>342</v>
      </c>
      <c r="F308" s="18">
        <v>3</v>
      </c>
      <c r="G308" s="28">
        <v>100</v>
      </c>
      <c r="H308" s="35">
        <f xml:space="preserve"> SUMIFS(Tabla2[CANTIDAD CARGADAS],Tabla2[CODIGO],Tabla2[[#This Row],[CODIGO]]) - SUMIFS(TABLA_CIERRES[CANTIDAD],TABLA_CIERRES[Codigo],Tabla2[[#This Row],[CODIGO]])</f>
        <v>3</v>
      </c>
      <c r="I308" s="37">
        <v>400</v>
      </c>
      <c r="J308" s="38">
        <f>Tabla2[[#This Row],[CANTIDAD CARGADAS]]*Tabla2[[#This Row],[COSTOS]]</f>
        <v>300</v>
      </c>
    </row>
    <row r="309" spans="1:10" x14ac:dyDescent="0.25">
      <c r="A309" s="34">
        <v>330</v>
      </c>
      <c r="B309" s="35">
        <v>99763953</v>
      </c>
      <c r="C309" s="36">
        <v>44987</v>
      </c>
      <c r="D309" s="35" t="s">
        <v>172</v>
      </c>
      <c r="E309" s="18" t="s">
        <v>343</v>
      </c>
      <c r="F309" s="18">
        <v>12</v>
      </c>
      <c r="G309" s="28">
        <v>100</v>
      </c>
      <c r="H309" s="35">
        <f xml:space="preserve"> SUMIFS(Tabla2[CANTIDAD CARGADAS],Tabla2[CODIGO],Tabla2[[#This Row],[CODIGO]]) - SUMIFS(TABLA_CIERRES[CANTIDAD],TABLA_CIERRES[Codigo],Tabla2[[#This Row],[CODIGO]])</f>
        <v>12</v>
      </c>
      <c r="I309" s="37">
        <v>400</v>
      </c>
      <c r="J309" s="38">
        <f>Tabla2[[#This Row],[CANTIDAD CARGADAS]]*Tabla2[[#This Row],[COSTOS]]</f>
        <v>1200</v>
      </c>
    </row>
    <row r="310" spans="1:10" x14ac:dyDescent="0.25">
      <c r="A310" s="34">
        <v>331</v>
      </c>
      <c r="B310" s="35">
        <v>697393770</v>
      </c>
      <c r="C310" s="36">
        <v>44987</v>
      </c>
      <c r="D310" s="35" t="s">
        <v>26</v>
      </c>
      <c r="E310" s="18" t="s">
        <v>344</v>
      </c>
      <c r="F310" s="18">
        <v>4</v>
      </c>
      <c r="G310" s="28">
        <v>600</v>
      </c>
      <c r="H310" s="35">
        <f xml:space="preserve"> SUMIFS(Tabla2[CANTIDAD CARGADAS],Tabla2[CODIGO],Tabla2[[#This Row],[CODIGO]]) - SUMIFS(TABLA_CIERRES[CANTIDAD],TABLA_CIERRES[Codigo],Tabla2[[#This Row],[CODIGO]])</f>
        <v>4</v>
      </c>
      <c r="I310" s="37">
        <v>1400</v>
      </c>
      <c r="J310" s="38">
        <f>Tabla2[[#This Row],[CANTIDAD CARGADAS]]*Tabla2[[#This Row],[COSTOS]]</f>
        <v>2400</v>
      </c>
    </row>
    <row r="311" spans="1:10" x14ac:dyDescent="0.25">
      <c r="A311" s="34">
        <v>332</v>
      </c>
      <c r="B311" s="35">
        <v>194667495</v>
      </c>
      <c r="C311" s="36">
        <v>44987</v>
      </c>
      <c r="D311" s="35" t="s">
        <v>26</v>
      </c>
      <c r="E311" s="18" t="s">
        <v>345</v>
      </c>
      <c r="F311" s="18">
        <v>4</v>
      </c>
      <c r="G311" s="28">
        <v>600</v>
      </c>
      <c r="H311" s="35">
        <f xml:space="preserve"> SUMIFS(Tabla2[CANTIDAD CARGADAS],Tabla2[CODIGO],Tabla2[[#This Row],[CODIGO]]) - SUMIFS(TABLA_CIERRES[CANTIDAD],TABLA_CIERRES[Codigo],Tabla2[[#This Row],[CODIGO]])</f>
        <v>4</v>
      </c>
      <c r="I311" s="37">
        <v>1400</v>
      </c>
      <c r="J311" s="38">
        <f>Tabla2[[#This Row],[CANTIDAD CARGADAS]]*Tabla2[[#This Row],[COSTOS]]</f>
        <v>2400</v>
      </c>
    </row>
    <row r="312" spans="1:10" x14ac:dyDescent="0.25">
      <c r="A312" s="34">
        <v>333</v>
      </c>
      <c r="B312" s="35">
        <v>302465251</v>
      </c>
      <c r="C312" s="36">
        <v>44987</v>
      </c>
      <c r="D312" s="35" t="s">
        <v>26</v>
      </c>
      <c r="E312" s="18" t="s">
        <v>346</v>
      </c>
      <c r="F312" s="18">
        <v>4</v>
      </c>
      <c r="G312" s="28">
        <v>600</v>
      </c>
      <c r="H312" s="35">
        <f xml:space="preserve"> SUMIFS(Tabla2[CANTIDAD CARGADAS],Tabla2[CODIGO],Tabla2[[#This Row],[CODIGO]]) - SUMIFS(TABLA_CIERRES[CANTIDAD],TABLA_CIERRES[Codigo],Tabla2[[#This Row],[CODIGO]])</f>
        <v>4</v>
      </c>
      <c r="I312" s="37">
        <v>1400</v>
      </c>
      <c r="J312" s="38">
        <f>Tabla2[[#This Row],[CANTIDAD CARGADAS]]*Tabla2[[#This Row],[COSTOS]]</f>
        <v>2400</v>
      </c>
    </row>
    <row r="313" spans="1:10" x14ac:dyDescent="0.25">
      <c r="A313" s="34">
        <v>334</v>
      </c>
      <c r="B313" s="35">
        <v>54897023</v>
      </c>
      <c r="C313" s="36">
        <v>44987</v>
      </c>
      <c r="D313" s="35" t="s">
        <v>26</v>
      </c>
      <c r="E313" s="18" t="s">
        <v>347</v>
      </c>
      <c r="F313" s="18">
        <v>4</v>
      </c>
      <c r="G313" s="28">
        <v>600</v>
      </c>
      <c r="H313" s="35">
        <f xml:space="preserve"> SUMIFS(Tabla2[CANTIDAD CARGADAS],Tabla2[CODIGO],Tabla2[[#This Row],[CODIGO]]) - SUMIFS(TABLA_CIERRES[CANTIDAD],TABLA_CIERRES[Codigo],Tabla2[[#This Row],[CODIGO]])</f>
        <v>4</v>
      </c>
      <c r="I313" s="37">
        <v>1400</v>
      </c>
      <c r="J313" s="38">
        <f>Tabla2[[#This Row],[CANTIDAD CARGADAS]]*Tabla2[[#This Row],[COSTOS]]</f>
        <v>2400</v>
      </c>
    </row>
    <row r="314" spans="1:10" x14ac:dyDescent="0.25">
      <c r="A314" s="34">
        <v>335</v>
      </c>
      <c r="B314" s="35">
        <v>469732268</v>
      </c>
      <c r="C314" s="36">
        <v>44987</v>
      </c>
      <c r="D314" s="35" t="s">
        <v>26</v>
      </c>
      <c r="E314" s="18" t="s">
        <v>348</v>
      </c>
      <c r="F314" s="18">
        <v>4</v>
      </c>
      <c r="G314" s="28">
        <v>600</v>
      </c>
      <c r="H314" s="35">
        <f xml:space="preserve"> SUMIFS(Tabla2[CANTIDAD CARGADAS],Tabla2[CODIGO],Tabla2[[#This Row],[CODIGO]]) - SUMIFS(TABLA_CIERRES[CANTIDAD],TABLA_CIERRES[Codigo],Tabla2[[#This Row],[CODIGO]])</f>
        <v>4</v>
      </c>
      <c r="I314" s="37">
        <v>1400</v>
      </c>
      <c r="J314" s="38">
        <f>Tabla2[[#This Row],[CANTIDAD CARGADAS]]*Tabla2[[#This Row],[COSTOS]]</f>
        <v>2400</v>
      </c>
    </row>
    <row r="315" spans="1:10" x14ac:dyDescent="0.25">
      <c r="A315" s="34">
        <v>336</v>
      </c>
      <c r="B315" s="35">
        <v>176116295</v>
      </c>
      <c r="C315" s="36">
        <v>44987</v>
      </c>
      <c r="D315" s="35" t="s">
        <v>26</v>
      </c>
      <c r="E315" s="18" t="s">
        <v>349</v>
      </c>
      <c r="F315" s="18">
        <v>4</v>
      </c>
      <c r="G315" s="28">
        <v>600</v>
      </c>
      <c r="H315" s="35">
        <f xml:space="preserve"> SUMIFS(Tabla2[CANTIDAD CARGADAS],Tabla2[CODIGO],Tabla2[[#This Row],[CODIGO]]) - SUMIFS(TABLA_CIERRES[CANTIDAD],TABLA_CIERRES[Codigo],Tabla2[[#This Row],[CODIGO]])</f>
        <v>4</v>
      </c>
      <c r="I315" s="37">
        <v>1400</v>
      </c>
      <c r="J315" s="38">
        <f>Tabla2[[#This Row],[CANTIDAD CARGADAS]]*Tabla2[[#This Row],[COSTOS]]</f>
        <v>2400</v>
      </c>
    </row>
    <row r="316" spans="1:10" x14ac:dyDescent="0.25">
      <c r="A316" s="34">
        <v>337</v>
      </c>
      <c r="B316" s="35">
        <v>613172638</v>
      </c>
      <c r="C316" s="36">
        <v>44987</v>
      </c>
      <c r="D316" s="35" t="s">
        <v>26</v>
      </c>
      <c r="E316" s="18" t="s">
        <v>350</v>
      </c>
      <c r="F316" s="18">
        <v>7</v>
      </c>
      <c r="G316" s="28">
        <v>400</v>
      </c>
      <c r="H316" s="35">
        <f xml:space="preserve"> SUMIFS(Tabla2[CANTIDAD CARGADAS],Tabla2[CODIGO],Tabla2[[#This Row],[CODIGO]]) - SUMIFS(TABLA_CIERRES[CANTIDAD],TABLA_CIERRES[Codigo],Tabla2[[#This Row],[CODIGO]])</f>
        <v>7</v>
      </c>
      <c r="I316" s="37">
        <v>1000</v>
      </c>
      <c r="J316" s="38">
        <f>Tabla2[[#This Row],[CANTIDAD CARGADAS]]*Tabla2[[#This Row],[COSTOS]]</f>
        <v>2800</v>
      </c>
    </row>
    <row r="317" spans="1:10" x14ac:dyDescent="0.25">
      <c r="A317" s="34">
        <v>338</v>
      </c>
      <c r="B317" s="35">
        <v>930549127</v>
      </c>
      <c r="C317" s="36">
        <v>44987</v>
      </c>
      <c r="D317" s="35" t="s">
        <v>26</v>
      </c>
      <c r="E317" s="18" t="s">
        <v>351</v>
      </c>
      <c r="F317" s="18">
        <v>3</v>
      </c>
      <c r="G317" s="28">
        <v>200</v>
      </c>
      <c r="H317" s="35">
        <f xml:space="preserve"> SUMIFS(Tabla2[CANTIDAD CARGADAS],Tabla2[CODIGO],Tabla2[[#This Row],[CODIGO]]) - SUMIFS(TABLA_CIERRES[CANTIDAD],TABLA_CIERRES[Codigo],Tabla2[[#This Row],[CODIGO]])</f>
        <v>3</v>
      </c>
      <c r="I317" s="37">
        <v>600</v>
      </c>
      <c r="J317" s="38">
        <f>Tabla2[[#This Row],[CANTIDAD CARGADAS]]*Tabla2[[#This Row],[COSTOS]]</f>
        <v>600</v>
      </c>
    </row>
    <row r="318" spans="1:10" x14ac:dyDescent="0.25">
      <c r="A318" s="34">
        <v>339</v>
      </c>
      <c r="B318" s="35">
        <v>581080792</v>
      </c>
      <c r="C318" s="36">
        <v>44987</v>
      </c>
      <c r="D318" s="35" t="s">
        <v>26</v>
      </c>
      <c r="E318" s="18" t="s">
        <v>352</v>
      </c>
      <c r="F318" s="18">
        <v>3</v>
      </c>
      <c r="G318" s="28">
        <v>600</v>
      </c>
      <c r="H318" s="35">
        <f xml:space="preserve"> SUMIFS(Tabla2[CANTIDAD CARGADAS],Tabla2[CODIGO],Tabla2[[#This Row],[CODIGO]]) - SUMIFS(TABLA_CIERRES[CANTIDAD],TABLA_CIERRES[Codigo],Tabla2[[#This Row],[CODIGO]])</f>
        <v>3</v>
      </c>
      <c r="I318" s="37">
        <v>1400</v>
      </c>
      <c r="J318" s="38">
        <f>Tabla2[[#This Row],[CANTIDAD CARGADAS]]*Tabla2[[#This Row],[COSTOS]]</f>
        <v>1800</v>
      </c>
    </row>
    <row r="319" spans="1:10" x14ac:dyDescent="0.25">
      <c r="A319" s="34">
        <v>340</v>
      </c>
      <c r="B319" s="35">
        <v>115722622</v>
      </c>
      <c r="C319" s="36">
        <v>44987</v>
      </c>
      <c r="D319" s="35" t="s">
        <v>26</v>
      </c>
      <c r="E319" s="18" t="s">
        <v>353</v>
      </c>
      <c r="F319" s="18">
        <v>25</v>
      </c>
      <c r="G319" s="28">
        <v>400</v>
      </c>
      <c r="H319" s="35">
        <f xml:space="preserve"> SUMIFS(Tabla2[CANTIDAD CARGADAS],Tabla2[CODIGO],Tabla2[[#This Row],[CODIGO]]) - SUMIFS(TABLA_CIERRES[CANTIDAD],TABLA_CIERRES[Codigo],Tabla2[[#This Row],[CODIGO]])</f>
        <v>25</v>
      </c>
      <c r="I319" s="37">
        <v>1000</v>
      </c>
      <c r="J319" s="38">
        <f>Tabla2[[#This Row],[CANTIDAD CARGADAS]]*Tabla2[[#This Row],[COSTOS]]</f>
        <v>10000</v>
      </c>
    </row>
    <row r="320" spans="1:10" x14ac:dyDescent="0.25">
      <c r="A320" s="34">
        <v>341</v>
      </c>
      <c r="B320" s="35">
        <v>25185544</v>
      </c>
      <c r="C320" s="36">
        <v>44987</v>
      </c>
      <c r="D320" s="35" t="s">
        <v>26</v>
      </c>
      <c r="E320" s="18" t="s">
        <v>354</v>
      </c>
      <c r="F320" s="18">
        <v>3</v>
      </c>
      <c r="G320" s="28">
        <v>600</v>
      </c>
      <c r="H320" s="35">
        <f xml:space="preserve"> SUMIFS(Tabla2[CANTIDAD CARGADAS],Tabla2[CODIGO],Tabla2[[#This Row],[CODIGO]]) - SUMIFS(TABLA_CIERRES[CANTIDAD],TABLA_CIERRES[Codigo],Tabla2[[#This Row],[CODIGO]])</f>
        <v>3</v>
      </c>
      <c r="I320" s="37">
        <v>1400</v>
      </c>
      <c r="J320" s="38">
        <f>Tabla2[[#This Row],[CANTIDAD CARGADAS]]*Tabla2[[#This Row],[COSTOS]]</f>
        <v>1800</v>
      </c>
    </row>
    <row r="321" spans="1:10" x14ac:dyDescent="0.25">
      <c r="A321" s="34">
        <v>342</v>
      </c>
      <c r="B321" s="35">
        <v>911951328</v>
      </c>
      <c r="C321" s="36">
        <v>44987</v>
      </c>
      <c r="D321" s="35" t="s">
        <v>26</v>
      </c>
      <c r="E321" s="18" t="s">
        <v>283</v>
      </c>
      <c r="F321" s="18">
        <v>10</v>
      </c>
      <c r="G321" s="28">
        <v>400</v>
      </c>
      <c r="H321" s="35">
        <f xml:space="preserve"> SUMIFS(Tabla2[CANTIDAD CARGADAS],Tabla2[CODIGO],Tabla2[[#This Row],[CODIGO]]) - SUMIFS(TABLA_CIERRES[CANTIDAD],TABLA_CIERRES[Codigo],Tabla2[[#This Row],[CODIGO]])</f>
        <v>10</v>
      </c>
      <c r="I321" s="37">
        <v>1000</v>
      </c>
      <c r="J321" s="38">
        <f>Tabla2[[#This Row],[CANTIDAD CARGADAS]]*Tabla2[[#This Row],[COSTOS]]</f>
        <v>4000</v>
      </c>
    </row>
    <row r="322" spans="1:10" x14ac:dyDescent="0.25">
      <c r="A322" s="34">
        <v>343</v>
      </c>
      <c r="B322" s="35">
        <v>882257063</v>
      </c>
      <c r="C322" s="36">
        <v>44987</v>
      </c>
      <c r="D322" s="35" t="s">
        <v>26</v>
      </c>
      <c r="E322" s="18" t="s">
        <v>355</v>
      </c>
      <c r="F322" s="18">
        <v>5</v>
      </c>
      <c r="G322" s="28">
        <v>400</v>
      </c>
      <c r="H322" s="35">
        <f xml:space="preserve"> SUMIFS(Tabla2[CANTIDAD CARGADAS],Tabla2[CODIGO],Tabla2[[#This Row],[CODIGO]]) - SUMIFS(TABLA_CIERRES[CANTIDAD],TABLA_CIERRES[Codigo],Tabla2[[#This Row],[CODIGO]])</f>
        <v>5</v>
      </c>
      <c r="I322" s="37">
        <v>1000</v>
      </c>
      <c r="J322" s="38">
        <f>Tabla2[[#This Row],[CANTIDAD CARGADAS]]*Tabla2[[#This Row],[COSTOS]]</f>
        <v>2000</v>
      </c>
    </row>
    <row r="323" spans="1:10" x14ac:dyDescent="0.25">
      <c r="A323" s="34">
        <v>344</v>
      </c>
      <c r="B323" s="35">
        <v>829996581</v>
      </c>
      <c r="C323" s="36">
        <v>44987</v>
      </c>
      <c r="D323" s="35" t="s">
        <v>26</v>
      </c>
      <c r="E323" s="18" t="s">
        <v>356</v>
      </c>
      <c r="F323" s="18">
        <v>2</v>
      </c>
      <c r="G323" s="28">
        <v>400</v>
      </c>
      <c r="H323" s="35">
        <f xml:space="preserve"> SUMIFS(Tabla2[CANTIDAD CARGADAS],Tabla2[CODIGO],Tabla2[[#This Row],[CODIGO]]) - SUMIFS(TABLA_CIERRES[CANTIDAD],TABLA_CIERRES[Codigo],Tabla2[[#This Row],[CODIGO]])</f>
        <v>2</v>
      </c>
      <c r="I323" s="37">
        <v>1000</v>
      </c>
      <c r="J323" s="38">
        <f>Tabla2[[#This Row],[CANTIDAD CARGADAS]]*Tabla2[[#This Row],[COSTOS]]</f>
        <v>800</v>
      </c>
    </row>
    <row r="324" spans="1:10" x14ac:dyDescent="0.25">
      <c r="A324" s="34">
        <v>345</v>
      </c>
      <c r="B324" s="35">
        <v>335501315</v>
      </c>
      <c r="C324" s="36">
        <v>44987</v>
      </c>
      <c r="D324" s="35" t="s">
        <v>26</v>
      </c>
      <c r="E324" s="18" t="s">
        <v>357</v>
      </c>
      <c r="F324" s="18">
        <v>3</v>
      </c>
      <c r="G324" s="28">
        <v>600</v>
      </c>
      <c r="H324" s="35">
        <f xml:space="preserve"> SUMIFS(Tabla2[CANTIDAD CARGADAS],Tabla2[CODIGO],Tabla2[[#This Row],[CODIGO]]) - SUMIFS(TABLA_CIERRES[CANTIDAD],TABLA_CIERRES[Codigo],Tabla2[[#This Row],[CODIGO]])</f>
        <v>3</v>
      </c>
      <c r="I324" s="37">
        <v>1400</v>
      </c>
      <c r="J324" s="38">
        <f>Tabla2[[#This Row],[CANTIDAD CARGADAS]]*Tabla2[[#This Row],[COSTOS]]</f>
        <v>1800</v>
      </c>
    </row>
    <row r="325" spans="1:10" x14ac:dyDescent="0.25">
      <c r="A325" s="34">
        <v>346</v>
      </c>
      <c r="B325" s="35">
        <v>386010831</v>
      </c>
      <c r="C325" s="36">
        <v>44987</v>
      </c>
      <c r="D325" s="35" t="s">
        <v>26</v>
      </c>
      <c r="E325" s="18" t="s">
        <v>358</v>
      </c>
      <c r="F325" s="18">
        <v>6</v>
      </c>
      <c r="G325" s="28">
        <v>400</v>
      </c>
      <c r="H325" s="35">
        <f xml:space="preserve"> SUMIFS(Tabla2[CANTIDAD CARGADAS],Tabla2[CODIGO],Tabla2[[#This Row],[CODIGO]]) - SUMIFS(TABLA_CIERRES[CANTIDAD],TABLA_CIERRES[Codigo],Tabla2[[#This Row],[CODIGO]])</f>
        <v>6</v>
      </c>
      <c r="I325" s="37">
        <v>1000</v>
      </c>
      <c r="J325" s="38">
        <f>Tabla2[[#This Row],[CANTIDAD CARGADAS]]*Tabla2[[#This Row],[COSTOS]]</f>
        <v>2400</v>
      </c>
    </row>
    <row r="326" spans="1:10" x14ac:dyDescent="0.25">
      <c r="A326" s="34">
        <v>347</v>
      </c>
      <c r="B326" s="35">
        <v>961650418</v>
      </c>
      <c r="C326" s="36">
        <v>44987</v>
      </c>
      <c r="D326" s="35" t="s">
        <v>26</v>
      </c>
      <c r="E326" s="18" t="s">
        <v>359</v>
      </c>
      <c r="F326" s="18">
        <v>4</v>
      </c>
      <c r="G326" s="28">
        <v>400</v>
      </c>
      <c r="H326" s="35">
        <f xml:space="preserve"> SUMIFS(Tabla2[CANTIDAD CARGADAS],Tabla2[CODIGO],Tabla2[[#This Row],[CODIGO]]) - SUMIFS(TABLA_CIERRES[CANTIDAD],TABLA_CIERRES[Codigo],Tabla2[[#This Row],[CODIGO]])</f>
        <v>4</v>
      </c>
      <c r="I326" s="37">
        <v>1000</v>
      </c>
      <c r="J326" s="38">
        <f>Tabla2[[#This Row],[CANTIDAD CARGADAS]]*Tabla2[[#This Row],[COSTOS]]</f>
        <v>1600</v>
      </c>
    </row>
    <row r="327" spans="1:10" x14ac:dyDescent="0.25">
      <c r="A327" s="34">
        <v>348</v>
      </c>
      <c r="B327" s="35">
        <v>214715495</v>
      </c>
      <c r="C327" s="36">
        <v>44987</v>
      </c>
      <c r="D327" s="35" t="s">
        <v>26</v>
      </c>
      <c r="E327" s="18" t="s">
        <v>360</v>
      </c>
      <c r="F327" s="18">
        <v>4</v>
      </c>
      <c r="G327" s="28">
        <v>600</v>
      </c>
      <c r="H327" s="35">
        <f xml:space="preserve"> SUMIFS(Tabla2[CANTIDAD CARGADAS],Tabla2[CODIGO],Tabla2[[#This Row],[CODIGO]]) - SUMIFS(TABLA_CIERRES[CANTIDAD],TABLA_CIERRES[Codigo],Tabla2[[#This Row],[CODIGO]])</f>
        <v>4</v>
      </c>
      <c r="I327" s="37">
        <v>1400</v>
      </c>
      <c r="J327" s="38">
        <f>Tabla2[[#This Row],[CANTIDAD CARGADAS]]*Tabla2[[#This Row],[COSTOS]]</f>
        <v>2400</v>
      </c>
    </row>
    <row r="328" spans="1:10" x14ac:dyDescent="0.25">
      <c r="A328" s="34">
        <v>349</v>
      </c>
      <c r="B328" s="35">
        <v>282035266</v>
      </c>
      <c r="C328" s="36">
        <v>44987</v>
      </c>
      <c r="D328" s="35" t="s">
        <v>26</v>
      </c>
      <c r="E328" s="18" t="s">
        <v>361</v>
      </c>
      <c r="F328" s="18">
        <v>4</v>
      </c>
      <c r="G328" s="28">
        <v>600</v>
      </c>
      <c r="H328" s="35">
        <f xml:space="preserve"> SUMIFS(Tabla2[CANTIDAD CARGADAS],Tabla2[CODIGO],Tabla2[[#This Row],[CODIGO]]) - SUMIFS(TABLA_CIERRES[CANTIDAD],TABLA_CIERRES[Codigo],Tabla2[[#This Row],[CODIGO]])</f>
        <v>4</v>
      </c>
      <c r="I328" s="37">
        <v>1400</v>
      </c>
      <c r="J328" s="38">
        <f>Tabla2[[#This Row],[CANTIDAD CARGADAS]]*Tabla2[[#This Row],[COSTOS]]</f>
        <v>2400</v>
      </c>
    </row>
    <row r="329" spans="1:10" x14ac:dyDescent="0.25">
      <c r="A329" s="34">
        <v>350</v>
      </c>
      <c r="B329" s="35">
        <v>768889348</v>
      </c>
      <c r="C329" s="36">
        <v>45079</v>
      </c>
      <c r="D329" s="35" t="s">
        <v>172</v>
      </c>
      <c r="E329" s="18" t="s">
        <v>362</v>
      </c>
      <c r="F329" s="18">
        <v>8</v>
      </c>
      <c r="G329" s="28">
        <v>100</v>
      </c>
      <c r="H329" s="35">
        <f xml:space="preserve"> SUMIFS(Tabla2[CANTIDAD CARGADAS],Tabla2[CODIGO],Tabla2[[#This Row],[CODIGO]]) - SUMIFS(TABLA_CIERRES[CANTIDAD],TABLA_CIERRES[Codigo],Tabla2[[#This Row],[CODIGO]])</f>
        <v>8</v>
      </c>
      <c r="I329" s="37">
        <v>400</v>
      </c>
      <c r="J329" s="38">
        <f>Tabla2[[#This Row],[CANTIDAD CARGADAS]]*Tabla2[[#This Row],[COSTOS]]</f>
        <v>800</v>
      </c>
    </row>
    <row r="330" spans="1:10" x14ac:dyDescent="0.25">
      <c r="A330" s="34">
        <v>351</v>
      </c>
      <c r="B330" s="35">
        <v>17729615</v>
      </c>
      <c r="C330" s="36">
        <v>45079</v>
      </c>
      <c r="D330" s="35" t="s">
        <v>172</v>
      </c>
      <c r="E330" s="18" t="s">
        <v>363</v>
      </c>
      <c r="F330" s="18">
        <v>4</v>
      </c>
      <c r="G330" s="28">
        <v>100</v>
      </c>
      <c r="H330" s="35">
        <f xml:space="preserve"> SUMIFS(Tabla2[CANTIDAD CARGADAS],Tabla2[CODIGO],Tabla2[[#This Row],[CODIGO]]) - SUMIFS(TABLA_CIERRES[CANTIDAD],TABLA_CIERRES[Codigo],Tabla2[[#This Row],[CODIGO]])</f>
        <v>4</v>
      </c>
      <c r="I330" s="37">
        <v>400</v>
      </c>
      <c r="J330" s="38">
        <f>Tabla2[[#This Row],[CANTIDAD CARGADAS]]*Tabla2[[#This Row],[COSTOS]]</f>
        <v>400</v>
      </c>
    </row>
    <row r="331" spans="1:10" x14ac:dyDescent="0.25">
      <c r="A331" s="34">
        <v>352</v>
      </c>
      <c r="B331" s="35">
        <v>476607338</v>
      </c>
      <c r="C331" s="36">
        <v>45079</v>
      </c>
      <c r="D331" s="35" t="s">
        <v>172</v>
      </c>
      <c r="E331" s="18" t="s">
        <v>364</v>
      </c>
      <c r="F331" s="18">
        <v>2</v>
      </c>
      <c r="G331" s="28">
        <v>100</v>
      </c>
      <c r="H331" s="35">
        <f xml:space="preserve"> SUMIFS(Tabla2[CANTIDAD CARGADAS],Tabla2[CODIGO],Tabla2[[#This Row],[CODIGO]]) - SUMIFS(TABLA_CIERRES[CANTIDAD],TABLA_CIERRES[Codigo],Tabla2[[#This Row],[CODIGO]])</f>
        <v>2</v>
      </c>
      <c r="I331" s="37">
        <v>400</v>
      </c>
      <c r="J331" s="38">
        <f>Tabla2[[#This Row],[CANTIDAD CARGADAS]]*Tabla2[[#This Row],[COSTOS]]</f>
        <v>200</v>
      </c>
    </row>
    <row r="332" spans="1:10" x14ac:dyDescent="0.25">
      <c r="A332" s="34">
        <v>353</v>
      </c>
      <c r="B332" s="35">
        <v>570533138</v>
      </c>
      <c r="C332" s="36">
        <v>45079</v>
      </c>
      <c r="D332" s="35" t="s">
        <v>172</v>
      </c>
      <c r="E332" s="18" t="s">
        <v>365</v>
      </c>
      <c r="F332" s="18">
        <v>32</v>
      </c>
      <c r="G332" s="28">
        <v>100</v>
      </c>
      <c r="H332" s="35">
        <f xml:space="preserve"> SUMIFS(Tabla2[CANTIDAD CARGADAS],Tabla2[CODIGO],Tabla2[[#This Row],[CODIGO]]) - SUMIFS(TABLA_CIERRES[CANTIDAD],TABLA_CIERRES[Codigo],Tabla2[[#This Row],[CODIGO]])</f>
        <v>32</v>
      </c>
      <c r="I332" s="37">
        <v>400</v>
      </c>
      <c r="J332" s="38">
        <f>Tabla2[[#This Row],[CANTIDAD CARGADAS]]*Tabla2[[#This Row],[COSTOS]]</f>
        <v>3200</v>
      </c>
    </row>
    <row r="333" spans="1:10" x14ac:dyDescent="0.25">
      <c r="A333" s="34">
        <v>354</v>
      </c>
      <c r="B333" s="35">
        <v>193008159</v>
      </c>
      <c r="C333" s="36">
        <v>45079</v>
      </c>
      <c r="D333" s="35" t="s">
        <v>172</v>
      </c>
      <c r="E333" s="18" t="s">
        <v>366</v>
      </c>
      <c r="F333" s="18">
        <v>29</v>
      </c>
      <c r="G333" s="28">
        <v>100</v>
      </c>
      <c r="H333" s="35">
        <f xml:space="preserve"> SUMIFS(Tabla2[CANTIDAD CARGADAS],Tabla2[CODIGO],Tabla2[[#This Row],[CODIGO]]) - SUMIFS(TABLA_CIERRES[CANTIDAD],TABLA_CIERRES[Codigo],Tabla2[[#This Row],[CODIGO]])</f>
        <v>29</v>
      </c>
      <c r="I333" s="37">
        <v>400</v>
      </c>
      <c r="J333" s="38">
        <f>Tabla2[[#This Row],[CANTIDAD CARGADAS]]*Tabla2[[#This Row],[COSTOS]]</f>
        <v>2900</v>
      </c>
    </row>
    <row r="334" spans="1:10" x14ac:dyDescent="0.25">
      <c r="A334" s="34">
        <v>355</v>
      </c>
      <c r="B334" s="35">
        <v>28406250</v>
      </c>
      <c r="C334" s="36">
        <v>45079</v>
      </c>
      <c r="D334" s="35" t="s">
        <v>172</v>
      </c>
      <c r="E334" s="18" t="s">
        <v>367</v>
      </c>
      <c r="F334" s="18">
        <v>9</v>
      </c>
      <c r="G334" s="28">
        <v>100</v>
      </c>
      <c r="H334" s="35">
        <f xml:space="preserve"> SUMIFS(Tabla2[CANTIDAD CARGADAS],Tabla2[CODIGO],Tabla2[[#This Row],[CODIGO]]) - SUMIFS(TABLA_CIERRES[CANTIDAD],TABLA_CIERRES[Codigo],Tabla2[[#This Row],[CODIGO]])</f>
        <v>9</v>
      </c>
      <c r="I334" s="37">
        <v>400</v>
      </c>
      <c r="J334" s="38">
        <f>Tabla2[[#This Row],[CANTIDAD CARGADAS]]*Tabla2[[#This Row],[COSTOS]]</f>
        <v>900</v>
      </c>
    </row>
    <row r="335" spans="1:10" x14ac:dyDescent="0.25">
      <c r="A335" s="34">
        <v>356</v>
      </c>
      <c r="B335" s="35">
        <v>229373459</v>
      </c>
      <c r="C335" s="36">
        <v>45079</v>
      </c>
      <c r="D335" s="35" t="s">
        <v>172</v>
      </c>
      <c r="E335" s="18" t="s">
        <v>368</v>
      </c>
      <c r="F335" s="18">
        <v>8</v>
      </c>
      <c r="G335" s="28">
        <v>100</v>
      </c>
      <c r="H335" s="35">
        <f xml:space="preserve"> SUMIFS(Tabla2[CANTIDAD CARGADAS],Tabla2[CODIGO],Tabla2[[#This Row],[CODIGO]]) - SUMIFS(TABLA_CIERRES[CANTIDAD],TABLA_CIERRES[Codigo],Tabla2[[#This Row],[CODIGO]])</f>
        <v>8</v>
      </c>
      <c r="I335" s="37">
        <v>400</v>
      </c>
      <c r="J335" s="38">
        <f>Tabla2[[#This Row],[CANTIDAD CARGADAS]]*Tabla2[[#This Row],[COSTOS]]</f>
        <v>800</v>
      </c>
    </row>
    <row r="336" spans="1:10" x14ac:dyDescent="0.25">
      <c r="A336" s="34">
        <v>357</v>
      </c>
      <c r="B336" s="35">
        <v>966274725</v>
      </c>
      <c r="C336" s="36">
        <v>45079</v>
      </c>
      <c r="D336" s="35" t="s">
        <v>172</v>
      </c>
      <c r="E336" s="18" t="s">
        <v>369</v>
      </c>
      <c r="F336" s="18">
        <v>5</v>
      </c>
      <c r="G336" s="28">
        <v>100</v>
      </c>
      <c r="H336" s="35">
        <f xml:space="preserve"> SUMIFS(Tabla2[CANTIDAD CARGADAS],Tabla2[CODIGO],Tabla2[[#This Row],[CODIGO]]) - SUMIFS(TABLA_CIERRES[CANTIDAD],TABLA_CIERRES[Codigo],Tabla2[[#This Row],[CODIGO]])</f>
        <v>5</v>
      </c>
      <c r="I336" s="37">
        <v>400</v>
      </c>
      <c r="J336" s="38">
        <f>Tabla2[[#This Row],[CANTIDAD CARGADAS]]*Tabla2[[#This Row],[COSTOS]]</f>
        <v>500</v>
      </c>
    </row>
    <row r="337" spans="1:10" x14ac:dyDescent="0.25">
      <c r="A337" s="34">
        <v>358</v>
      </c>
      <c r="B337" s="35">
        <v>961650419</v>
      </c>
      <c r="C337" s="36">
        <v>45079</v>
      </c>
      <c r="D337" s="35" t="s">
        <v>172</v>
      </c>
      <c r="E337" s="18" t="s">
        <v>370</v>
      </c>
      <c r="F337" s="18">
        <v>12</v>
      </c>
      <c r="G337" s="28">
        <v>100</v>
      </c>
      <c r="H337" s="35">
        <f xml:space="preserve"> SUMIFS(Tabla2[CANTIDAD CARGADAS],Tabla2[CODIGO],Tabla2[[#This Row],[CODIGO]]) - SUMIFS(TABLA_CIERRES[CANTIDAD],TABLA_CIERRES[Codigo],Tabla2[[#This Row],[CODIGO]])</f>
        <v>12</v>
      </c>
      <c r="I337" s="37">
        <v>400</v>
      </c>
      <c r="J337" s="38">
        <f>Tabla2[[#This Row],[CANTIDAD CARGADAS]]*Tabla2[[#This Row],[COSTOS]]</f>
        <v>1200</v>
      </c>
    </row>
    <row r="338" spans="1:10" x14ac:dyDescent="0.25">
      <c r="A338" s="34">
        <v>359</v>
      </c>
      <c r="B338" s="35">
        <v>466307991</v>
      </c>
      <c r="C338" s="36">
        <v>45079</v>
      </c>
      <c r="D338" s="35" t="s">
        <v>172</v>
      </c>
      <c r="E338" s="18" t="s">
        <v>371</v>
      </c>
      <c r="F338" s="18">
        <v>4</v>
      </c>
      <c r="G338" s="28">
        <v>100</v>
      </c>
      <c r="H338" s="35">
        <f xml:space="preserve"> SUMIFS(Tabla2[CANTIDAD CARGADAS],Tabla2[CODIGO],Tabla2[[#This Row],[CODIGO]]) - SUMIFS(TABLA_CIERRES[CANTIDAD],TABLA_CIERRES[Codigo],Tabla2[[#This Row],[CODIGO]])</f>
        <v>4</v>
      </c>
      <c r="I338" s="37">
        <v>400</v>
      </c>
      <c r="J338" s="38">
        <f>Tabla2[[#This Row],[CANTIDAD CARGADAS]]*Tabla2[[#This Row],[COSTOS]]</f>
        <v>400</v>
      </c>
    </row>
    <row r="339" spans="1:10" x14ac:dyDescent="0.25">
      <c r="A339" s="34">
        <v>360</v>
      </c>
      <c r="B339" s="35">
        <v>694427909</v>
      </c>
      <c r="C339" s="36">
        <v>45079</v>
      </c>
      <c r="D339" s="35" t="s">
        <v>172</v>
      </c>
      <c r="E339" s="18" t="s">
        <v>372</v>
      </c>
      <c r="F339" s="18">
        <v>18</v>
      </c>
      <c r="G339" s="28">
        <v>100</v>
      </c>
      <c r="H339" s="35">
        <f xml:space="preserve"> SUMIFS(Tabla2[CANTIDAD CARGADAS],Tabla2[CODIGO],Tabla2[[#This Row],[CODIGO]]) - SUMIFS(TABLA_CIERRES[CANTIDAD],TABLA_CIERRES[Codigo],Tabla2[[#This Row],[CODIGO]])</f>
        <v>18</v>
      </c>
      <c r="I339" s="37">
        <v>400</v>
      </c>
      <c r="J339" s="38">
        <f>Tabla2[[#This Row],[CANTIDAD CARGADAS]]*Tabla2[[#This Row],[COSTOS]]</f>
        <v>1800</v>
      </c>
    </row>
    <row r="340" spans="1:10" x14ac:dyDescent="0.25">
      <c r="A340" s="34">
        <v>361</v>
      </c>
      <c r="B340" s="35">
        <v>273445858</v>
      </c>
      <c r="C340" s="36">
        <v>45079</v>
      </c>
      <c r="D340" s="35" t="s">
        <v>172</v>
      </c>
      <c r="E340" s="18" t="s">
        <v>373</v>
      </c>
      <c r="F340" s="18">
        <v>27</v>
      </c>
      <c r="G340" s="28">
        <v>100</v>
      </c>
      <c r="H340" s="35">
        <f xml:space="preserve"> SUMIFS(Tabla2[CANTIDAD CARGADAS],Tabla2[CODIGO],Tabla2[[#This Row],[CODIGO]]) - SUMIFS(TABLA_CIERRES[CANTIDAD],TABLA_CIERRES[Codigo],Tabla2[[#This Row],[CODIGO]])</f>
        <v>27</v>
      </c>
      <c r="I340" s="37">
        <v>400</v>
      </c>
      <c r="J340" s="38">
        <f>Tabla2[[#This Row],[CANTIDAD CARGADAS]]*Tabla2[[#This Row],[COSTOS]]</f>
        <v>2700</v>
      </c>
    </row>
    <row r="341" spans="1:10" x14ac:dyDescent="0.25">
      <c r="A341" s="34">
        <v>362</v>
      </c>
      <c r="B341" s="35">
        <v>412771600</v>
      </c>
      <c r="C341" s="36">
        <v>45079</v>
      </c>
      <c r="D341" s="35" t="s">
        <v>172</v>
      </c>
      <c r="E341" s="18" t="s">
        <v>374</v>
      </c>
      <c r="F341" s="18">
        <v>14</v>
      </c>
      <c r="G341" s="28">
        <v>100</v>
      </c>
      <c r="H341" s="35">
        <f xml:space="preserve"> SUMIFS(Tabla2[CANTIDAD CARGADAS],Tabla2[CODIGO],Tabla2[[#This Row],[CODIGO]]) - SUMIFS(TABLA_CIERRES[CANTIDAD],TABLA_CIERRES[Codigo],Tabla2[[#This Row],[CODIGO]])</f>
        <v>13</v>
      </c>
      <c r="I341" s="37">
        <v>400</v>
      </c>
      <c r="J341" s="38">
        <f>Tabla2[[#This Row],[CANTIDAD CARGADAS]]*Tabla2[[#This Row],[COSTOS]]</f>
        <v>1400</v>
      </c>
    </row>
    <row r="342" spans="1:10" x14ac:dyDescent="0.25">
      <c r="A342" s="34">
        <v>363</v>
      </c>
      <c r="B342" s="35">
        <v>836116044</v>
      </c>
      <c r="C342" s="36">
        <v>45079</v>
      </c>
      <c r="D342" s="35" t="s">
        <v>172</v>
      </c>
      <c r="E342" s="18" t="s">
        <v>375</v>
      </c>
      <c r="F342" s="18">
        <v>18</v>
      </c>
      <c r="G342" s="28">
        <v>100</v>
      </c>
      <c r="H342" s="35">
        <f xml:space="preserve"> SUMIFS(Tabla2[CANTIDAD CARGADAS],Tabla2[CODIGO],Tabla2[[#This Row],[CODIGO]]) - SUMIFS(TABLA_CIERRES[CANTIDAD],TABLA_CIERRES[Codigo],Tabla2[[#This Row],[CODIGO]])</f>
        <v>18</v>
      </c>
      <c r="I342" s="37">
        <v>400</v>
      </c>
      <c r="J342" s="38">
        <f>Tabla2[[#This Row],[CANTIDAD CARGADAS]]*Tabla2[[#This Row],[COSTOS]]</f>
        <v>1800</v>
      </c>
    </row>
    <row r="343" spans="1:10" x14ac:dyDescent="0.25">
      <c r="A343" s="34">
        <v>364</v>
      </c>
      <c r="B343" s="35">
        <v>840623080</v>
      </c>
      <c r="C343" s="36">
        <v>45079</v>
      </c>
      <c r="D343" s="35" t="s">
        <v>26</v>
      </c>
      <c r="E343" s="18" t="s">
        <v>376</v>
      </c>
      <c r="F343" s="18">
        <v>5</v>
      </c>
      <c r="G343" s="28">
        <v>400</v>
      </c>
      <c r="H343" s="35">
        <f xml:space="preserve"> SUMIFS(Tabla2[CANTIDAD CARGADAS],Tabla2[CODIGO],Tabla2[[#This Row],[CODIGO]]) - SUMIFS(TABLA_CIERRES[CANTIDAD],TABLA_CIERRES[Codigo],Tabla2[[#This Row],[CODIGO]])</f>
        <v>5</v>
      </c>
      <c r="I343" s="37">
        <v>1000</v>
      </c>
      <c r="J343" s="38">
        <f>Tabla2[[#This Row],[CANTIDAD CARGADAS]]*Tabla2[[#This Row],[COSTOS]]</f>
        <v>2000</v>
      </c>
    </row>
    <row r="344" spans="1:10" x14ac:dyDescent="0.25">
      <c r="A344" s="34">
        <v>365</v>
      </c>
      <c r="B344" s="35">
        <v>585552319</v>
      </c>
      <c r="C344" s="36">
        <v>45140</v>
      </c>
      <c r="D344" s="35" t="s">
        <v>26</v>
      </c>
      <c r="E344" s="18" t="s">
        <v>377</v>
      </c>
      <c r="F344" s="18">
        <v>10</v>
      </c>
      <c r="G344" s="28">
        <v>400</v>
      </c>
      <c r="H344" s="35">
        <f xml:space="preserve"> SUMIFS(Tabla2[CANTIDAD CARGADAS],Tabla2[CODIGO],Tabla2[[#This Row],[CODIGO]]) - SUMIFS(TABLA_CIERRES[CANTIDAD],TABLA_CIERRES[Codigo],Tabla2[[#This Row],[CODIGO]])</f>
        <v>10</v>
      </c>
      <c r="I344" s="37">
        <v>1000</v>
      </c>
      <c r="J344" s="38">
        <f>Tabla2[[#This Row],[CANTIDAD CARGADAS]]*Tabla2[[#This Row],[COSTOS]]</f>
        <v>4000</v>
      </c>
    </row>
    <row r="345" spans="1:10" x14ac:dyDescent="0.25">
      <c r="A345" s="34">
        <v>367</v>
      </c>
      <c r="B345" s="35">
        <v>833221324</v>
      </c>
      <c r="C345" s="36">
        <v>45079</v>
      </c>
      <c r="D345" s="35" t="s">
        <v>26</v>
      </c>
      <c r="E345" s="18" t="s">
        <v>378</v>
      </c>
      <c r="F345" s="18">
        <v>5</v>
      </c>
      <c r="G345" s="28">
        <v>400</v>
      </c>
      <c r="H345" s="35">
        <f xml:space="preserve"> SUMIFS(Tabla2[CANTIDAD CARGADAS],Tabla2[CODIGO],Tabla2[[#This Row],[CODIGO]]) - SUMIFS(TABLA_CIERRES[CANTIDAD],TABLA_CIERRES[Codigo],Tabla2[[#This Row],[CODIGO]])</f>
        <v>5</v>
      </c>
      <c r="I345" s="37">
        <v>1000</v>
      </c>
      <c r="J345" s="38">
        <f>Tabla2[[#This Row],[CANTIDAD CARGADAS]]*Tabla2[[#This Row],[COSTOS]]</f>
        <v>2000</v>
      </c>
    </row>
    <row r="346" spans="1:10" x14ac:dyDescent="0.25">
      <c r="A346" s="34">
        <v>368</v>
      </c>
      <c r="B346" s="35">
        <v>697393771</v>
      </c>
      <c r="C346" s="36">
        <v>45079</v>
      </c>
      <c r="D346" s="35" t="s">
        <v>26</v>
      </c>
      <c r="E346" s="18" t="s">
        <v>379</v>
      </c>
      <c r="F346" s="18">
        <v>10</v>
      </c>
      <c r="G346" s="28">
        <v>400</v>
      </c>
      <c r="H346" s="35">
        <f xml:space="preserve"> SUMIFS(Tabla2[CANTIDAD CARGADAS],Tabla2[CODIGO],Tabla2[[#This Row],[CODIGO]]) - SUMIFS(TABLA_CIERRES[CANTIDAD],TABLA_CIERRES[Codigo],Tabla2[[#This Row],[CODIGO]])</f>
        <v>10</v>
      </c>
      <c r="I346" s="37">
        <v>1000</v>
      </c>
      <c r="J346" s="38">
        <f>Tabla2[[#This Row],[CANTIDAD CARGADAS]]*Tabla2[[#This Row],[COSTOS]]</f>
        <v>4000</v>
      </c>
    </row>
    <row r="347" spans="1:10" x14ac:dyDescent="0.25">
      <c r="A347" s="34">
        <v>369</v>
      </c>
      <c r="B347" s="35">
        <v>305738525</v>
      </c>
      <c r="C347" s="36">
        <v>45079</v>
      </c>
      <c r="D347" s="35" t="s">
        <v>26</v>
      </c>
      <c r="E347" s="18" t="s">
        <v>380</v>
      </c>
      <c r="F347" s="18">
        <v>5</v>
      </c>
      <c r="G347" s="28">
        <v>400</v>
      </c>
      <c r="H347" s="35">
        <f xml:space="preserve"> SUMIFS(Tabla2[CANTIDAD CARGADAS],Tabla2[CODIGO],Tabla2[[#This Row],[CODIGO]]) - SUMIFS(TABLA_CIERRES[CANTIDAD],TABLA_CIERRES[Codigo],Tabla2[[#This Row],[CODIGO]])</f>
        <v>5</v>
      </c>
      <c r="I347" s="37">
        <v>1000</v>
      </c>
      <c r="J347" s="38">
        <f>Tabla2[[#This Row],[CANTIDAD CARGADAS]]*Tabla2[[#This Row],[COSTOS]]</f>
        <v>2000</v>
      </c>
    </row>
    <row r="348" spans="1:10" x14ac:dyDescent="0.25">
      <c r="A348" s="34">
        <v>370</v>
      </c>
      <c r="B348" s="35">
        <v>993340493</v>
      </c>
      <c r="C348" s="36">
        <v>45079</v>
      </c>
      <c r="D348" s="35" t="s">
        <v>26</v>
      </c>
      <c r="E348" s="18" t="s">
        <v>381</v>
      </c>
      <c r="F348" s="18">
        <v>10</v>
      </c>
      <c r="G348" s="28">
        <v>400</v>
      </c>
      <c r="H348" s="35">
        <f xml:space="preserve"> SUMIFS(Tabla2[CANTIDAD CARGADAS],Tabla2[CODIGO],Tabla2[[#This Row],[CODIGO]]) - SUMIFS(TABLA_CIERRES[CANTIDAD],TABLA_CIERRES[Codigo],Tabla2[[#This Row],[CODIGO]])</f>
        <v>10</v>
      </c>
      <c r="I348" s="37">
        <v>1000</v>
      </c>
      <c r="J348" s="38">
        <f>Tabla2[[#This Row],[CANTIDAD CARGADAS]]*Tabla2[[#This Row],[COSTOS]]</f>
        <v>4000</v>
      </c>
    </row>
    <row r="349" spans="1:10" x14ac:dyDescent="0.25">
      <c r="A349" s="34">
        <v>371</v>
      </c>
      <c r="B349" s="35">
        <v>331889972</v>
      </c>
      <c r="C349" s="36">
        <v>45140</v>
      </c>
      <c r="D349" s="35" t="s">
        <v>26</v>
      </c>
      <c r="E349" s="18" t="s">
        <v>382</v>
      </c>
      <c r="F349" s="18">
        <v>18</v>
      </c>
      <c r="G349" s="28">
        <v>400</v>
      </c>
      <c r="H349" s="35">
        <f xml:space="preserve"> SUMIFS(Tabla2[CANTIDAD CARGADAS],Tabla2[CODIGO],Tabla2[[#This Row],[CODIGO]]) - SUMIFS(TABLA_CIERRES[CANTIDAD],TABLA_CIERRES[Codigo],Tabla2[[#This Row],[CODIGO]])</f>
        <v>18</v>
      </c>
      <c r="I349" s="37">
        <v>1000</v>
      </c>
      <c r="J349" s="38">
        <f>Tabla2[[#This Row],[CANTIDAD CARGADAS]]*Tabla2[[#This Row],[COSTOS]]</f>
        <v>7200</v>
      </c>
    </row>
    <row r="350" spans="1:10" x14ac:dyDescent="0.25">
      <c r="A350" s="34">
        <v>372</v>
      </c>
      <c r="B350" s="35">
        <v>211712553</v>
      </c>
      <c r="C350" s="36">
        <v>45079</v>
      </c>
      <c r="D350" s="35" t="s">
        <v>26</v>
      </c>
      <c r="E350" s="18" t="s">
        <v>383</v>
      </c>
      <c r="F350" s="18">
        <v>1</v>
      </c>
      <c r="G350" s="28">
        <v>400</v>
      </c>
      <c r="H350" s="35">
        <f xml:space="preserve"> SUMIFS(Tabla2[CANTIDAD CARGADAS],Tabla2[CODIGO],Tabla2[[#This Row],[CODIGO]]) - SUMIFS(TABLA_CIERRES[CANTIDAD],TABLA_CIERRES[Codigo],Tabla2[[#This Row],[CODIGO]])</f>
        <v>1</v>
      </c>
      <c r="I350" s="37">
        <v>1000</v>
      </c>
      <c r="J350" s="38">
        <f>Tabla2[[#This Row],[CANTIDAD CARGADAS]]*Tabla2[[#This Row],[COSTOS]]</f>
        <v>400</v>
      </c>
    </row>
    <row r="351" spans="1:10" x14ac:dyDescent="0.25">
      <c r="A351" s="34">
        <v>373</v>
      </c>
      <c r="B351" s="35">
        <v>138067976</v>
      </c>
      <c r="C351" s="36">
        <v>45079</v>
      </c>
      <c r="D351" s="35" t="s">
        <v>26</v>
      </c>
      <c r="E351" s="18" t="s">
        <v>384</v>
      </c>
      <c r="F351" s="18">
        <v>16</v>
      </c>
      <c r="G351" s="28">
        <v>400</v>
      </c>
      <c r="H351" s="35">
        <f xml:space="preserve"> SUMIFS(Tabla2[CANTIDAD CARGADAS],Tabla2[CODIGO],Tabla2[[#This Row],[CODIGO]]) - SUMIFS(TABLA_CIERRES[CANTIDAD],TABLA_CIERRES[Codigo],Tabla2[[#This Row],[CODIGO]])</f>
        <v>16</v>
      </c>
      <c r="I351" s="37">
        <v>1000</v>
      </c>
      <c r="J351" s="38">
        <f>Tabla2[[#This Row],[CANTIDAD CARGADAS]]*Tabla2[[#This Row],[COSTOS]]</f>
        <v>6400</v>
      </c>
    </row>
    <row r="352" spans="1:10" x14ac:dyDescent="0.25">
      <c r="A352" s="34">
        <v>374</v>
      </c>
      <c r="B352" s="35">
        <v>581080794</v>
      </c>
      <c r="C352" s="36">
        <v>45079</v>
      </c>
      <c r="D352" s="35" t="s">
        <v>26</v>
      </c>
      <c r="E352" s="18" t="s">
        <v>385</v>
      </c>
      <c r="F352" s="18">
        <v>10</v>
      </c>
      <c r="G352" s="28">
        <v>200</v>
      </c>
      <c r="H352" s="35">
        <f xml:space="preserve"> SUMIFS(Tabla2[CANTIDAD CARGADAS],Tabla2[CODIGO],Tabla2[[#This Row],[CODIGO]]) - SUMIFS(TABLA_CIERRES[CANTIDAD],TABLA_CIERRES[Codigo],Tabla2[[#This Row],[CODIGO]])</f>
        <v>10</v>
      </c>
      <c r="I352" s="37">
        <v>600</v>
      </c>
      <c r="J352" s="38">
        <f>Tabla2[[#This Row],[CANTIDAD CARGADAS]]*Tabla2[[#This Row],[COSTOS]]</f>
        <v>2000</v>
      </c>
    </row>
    <row r="353" spans="1:10" x14ac:dyDescent="0.25">
      <c r="A353" s="39">
        <v>375</v>
      </c>
      <c r="B353" s="40">
        <v>739935613</v>
      </c>
      <c r="C353" s="41">
        <v>45079</v>
      </c>
      <c r="D353" s="40" t="s">
        <v>26</v>
      </c>
      <c r="E353" s="42" t="s">
        <v>387</v>
      </c>
      <c r="F353" s="42">
        <v>11</v>
      </c>
      <c r="G353" s="43">
        <v>400</v>
      </c>
      <c r="H353" s="40">
        <f xml:space="preserve"> SUMIFS(Tabla2[CANTIDAD CARGADAS],Tabla2[CODIGO],Tabla2[[#This Row],[CODIGO]]) - SUMIFS(TABLA_CIERRES[CANTIDAD],TABLA_CIERRES[Codigo],Tabla2[[#This Row],[CODIGO]])</f>
        <v>11</v>
      </c>
      <c r="I353" s="44">
        <v>1000</v>
      </c>
      <c r="J353" s="45">
        <f>Tabla2[[#This Row],[CANTIDAD CARGADAS]]*Tabla2[[#This Row],[COSTOS]]</f>
        <v>4400</v>
      </c>
    </row>
    <row r="354" spans="1:10" x14ac:dyDescent="0.25">
      <c r="A354" s="39">
        <v>376</v>
      </c>
      <c r="B354" s="40">
        <v>426428618</v>
      </c>
      <c r="C354" s="41">
        <v>45079</v>
      </c>
      <c r="D354" s="40" t="s">
        <v>26</v>
      </c>
      <c r="E354" s="42" t="s">
        <v>388</v>
      </c>
      <c r="F354" s="42">
        <v>13</v>
      </c>
      <c r="G354" s="43">
        <v>400</v>
      </c>
      <c r="H354" s="40">
        <f xml:space="preserve"> SUMIFS(Tabla2[CANTIDAD CARGADAS],Tabla2[CODIGO],Tabla2[[#This Row],[CODIGO]]) - SUMIFS(TABLA_CIERRES[CANTIDAD],TABLA_CIERRES[Codigo],Tabla2[[#This Row],[CODIGO]])</f>
        <v>13</v>
      </c>
      <c r="I354" s="44">
        <v>1000</v>
      </c>
      <c r="J354" s="45">
        <f>Tabla2[[#This Row],[CANTIDAD CARGADAS]]*Tabla2[[#This Row],[COSTOS]]</f>
        <v>5200</v>
      </c>
    </row>
    <row r="355" spans="1:10" x14ac:dyDescent="0.25">
      <c r="A355" s="39">
        <v>377</v>
      </c>
      <c r="B355" s="40">
        <v>25185546</v>
      </c>
      <c r="C355" s="41">
        <v>45079</v>
      </c>
      <c r="D355" s="40" t="s">
        <v>26</v>
      </c>
      <c r="E355" s="42" t="s">
        <v>390</v>
      </c>
      <c r="F355" s="42">
        <v>3</v>
      </c>
      <c r="G355" s="43">
        <v>200</v>
      </c>
      <c r="H355" s="40">
        <f xml:space="preserve"> SUMIFS(Tabla2[CANTIDAD CARGADAS],Tabla2[CODIGO],Tabla2[[#This Row],[CODIGO]]) - SUMIFS(TABLA_CIERRES[CANTIDAD],TABLA_CIERRES[Codigo],Tabla2[[#This Row],[CODIGO]])</f>
        <v>3</v>
      </c>
      <c r="I355" s="44">
        <v>600</v>
      </c>
      <c r="J355" s="45">
        <f>Tabla2[[#This Row],[CANTIDAD CARGADAS]]*Tabla2[[#This Row],[COSTOS]]</f>
        <v>600</v>
      </c>
    </row>
    <row r="356" spans="1:10" x14ac:dyDescent="0.25">
      <c r="A356" s="39">
        <v>378</v>
      </c>
      <c r="B356" s="40">
        <v>613172639</v>
      </c>
      <c r="C356" s="41">
        <v>45079</v>
      </c>
      <c r="D356" s="40" t="s">
        <v>26</v>
      </c>
      <c r="E356" s="42" t="s">
        <v>389</v>
      </c>
      <c r="F356" s="42">
        <v>1</v>
      </c>
      <c r="G356" s="43">
        <v>600</v>
      </c>
      <c r="H356" s="40">
        <f xml:space="preserve"> SUMIFS(Tabla2[CANTIDAD CARGADAS],Tabla2[CODIGO],Tabla2[[#This Row],[CODIGO]]) - SUMIFS(TABLA_CIERRES[CANTIDAD],TABLA_CIERRES[Codigo],Tabla2[[#This Row],[CODIGO]])</f>
        <v>1</v>
      </c>
      <c r="I356" s="44">
        <v>1200</v>
      </c>
      <c r="J356" s="45">
        <f>Tabla2[[#This Row],[CANTIDAD CARGADAS]]*Tabla2[[#This Row],[COSTOS]]</f>
        <v>600</v>
      </c>
    </row>
    <row r="357" spans="1:10" x14ac:dyDescent="0.25">
      <c r="A357" s="39">
        <v>379</v>
      </c>
      <c r="B357" s="40">
        <v>770790581</v>
      </c>
      <c r="C357" s="41">
        <v>45079</v>
      </c>
      <c r="D357" s="40" t="s">
        <v>26</v>
      </c>
      <c r="E357" s="42" t="s">
        <v>391</v>
      </c>
      <c r="F357" s="42">
        <v>6</v>
      </c>
      <c r="G357" s="43">
        <v>400</v>
      </c>
      <c r="H357" s="40">
        <f xml:space="preserve"> SUMIFS(Tabla2[CANTIDAD CARGADAS],Tabla2[CODIGO],Tabla2[[#This Row],[CODIGO]]) - SUMIFS(TABLA_CIERRES[CANTIDAD],TABLA_CIERRES[Codigo],Tabla2[[#This Row],[CODIGO]])</f>
        <v>6</v>
      </c>
      <c r="I357" s="44">
        <v>1000</v>
      </c>
      <c r="J357" s="45">
        <f>Tabla2[[#This Row],[CANTIDAD CARGADAS]]*Tabla2[[#This Row],[COSTOS]]</f>
        <v>2400</v>
      </c>
    </row>
    <row r="358" spans="1:10" x14ac:dyDescent="0.25">
      <c r="A358" s="39">
        <v>380</v>
      </c>
      <c r="B358" s="40">
        <v>444260506</v>
      </c>
      <c r="C358" s="41">
        <v>45079</v>
      </c>
      <c r="D358" s="40" t="s">
        <v>26</v>
      </c>
      <c r="E358" s="42" t="s">
        <v>392</v>
      </c>
      <c r="F358" s="42">
        <v>9</v>
      </c>
      <c r="G358" s="43">
        <v>200</v>
      </c>
      <c r="H358" s="40">
        <f xml:space="preserve"> SUMIFS(Tabla2[CANTIDAD CARGADAS],Tabla2[CODIGO],Tabla2[[#This Row],[CODIGO]]) - SUMIFS(TABLA_CIERRES[CANTIDAD],TABLA_CIERRES[Codigo],Tabla2[[#This Row],[CODIGO]])</f>
        <v>9</v>
      </c>
      <c r="I358" s="44">
        <v>600</v>
      </c>
      <c r="J358" s="45">
        <f>Tabla2[[#This Row],[CANTIDAD CARGADAS]]*Tabla2[[#This Row],[COSTOS]]</f>
        <v>1800</v>
      </c>
    </row>
    <row r="359" spans="1:10" x14ac:dyDescent="0.25">
      <c r="A359" s="39">
        <v>381</v>
      </c>
      <c r="B359" s="40">
        <v>960930383</v>
      </c>
      <c r="C359" s="41">
        <v>45079</v>
      </c>
      <c r="D359" s="40" t="s">
        <v>26</v>
      </c>
      <c r="E359" s="42" t="s">
        <v>393</v>
      </c>
      <c r="F359" s="42">
        <v>8</v>
      </c>
      <c r="G359" s="43">
        <v>600</v>
      </c>
      <c r="H359" s="40">
        <f xml:space="preserve"> SUMIFS(Tabla2[CANTIDAD CARGADAS],Tabla2[CODIGO],Tabla2[[#This Row],[CODIGO]]) - SUMIFS(TABLA_CIERRES[CANTIDAD],TABLA_CIERRES[Codigo],Tabla2[[#This Row],[CODIGO]])</f>
        <v>8</v>
      </c>
      <c r="I359" s="44">
        <v>1400</v>
      </c>
      <c r="J359" s="45">
        <f>Tabla2[[#This Row],[CANTIDAD CARGADAS]]*Tabla2[[#This Row],[COSTOS]]</f>
        <v>4800</v>
      </c>
    </row>
    <row r="360" spans="1:10" x14ac:dyDescent="0.25">
      <c r="A360" s="39">
        <v>382</v>
      </c>
      <c r="B360" s="40">
        <v>115722624</v>
      </c>
      <c r="C360" s="41">
        <v>45079</v>
      </c>
      <c r="D360" s="40" t="s">
        <v>26</v>
      </c>
      <c r="E360" s="42" t="s">
        <v>375</v>
      </c>
      <c r="F360" s="42">
        <v>28</v>
      </c>
      <c r="G360" s="43">
        <v>400</v>
      </c>
      <c r="H360" s="40">
        <f xml:space="preserve"> SUMIFS(Tabla2[CANTIDAD CARGADAS],Tabla2[CODIGO],Tabla2[[#This Row],[CODIGO]]) - SUMIFS(TABLA_CIERRES[CANTIDAD],TABLA_CIERRES[Codigo],Tabla2[[#This Row],[CODIGO]])</f>
        <v>28</v>
      </c>
      <c r="I360" s="44">
        <v>1000</v>
      </c>
      <c r="J360" s="45">
        <f>Tabla2[[#This Row],[CANTIDAD CARGADAS]]*Tabla2[[#This Row],[COSTOS]]</f>
        <v>11200</v>
      </c>
    </row>
    <row r="361" spans="1:10" x14ac:dyDescent="0.25">
      <c r="A361" s="39">
        <v>383</v>
      </c>
      <c r="B361" s="40">
        <v>460651878</v>
      </c>
      <c r="C361" s="41">
        <v>45079</v>
      </c>
      <c r="D361" s="40" t="s">
        <v>26</v>
      </c>
      <c r="E361" s="42" t="s">
        <v>394</v>
      </c>
      <c r="F361" s="42">
        <v>9</v>
      </c>
      <c r="G361" s="43">
        <v>400</v>
      </c>
      <c r="H361" s="40">
        <f xml:space="preserve"> SUMIFS(Tabla2[CANTIDAD CARGADAS],Tabla2[CODIGO],Tabla2[[#This Row],[CODIGO]]) - SUMIFS(TABLA_CIERRES[CANTIDAD],TABLA_CIERRES[Codigo],Tabla2[[#This Row],[CODIGO]])</f>
        <v>9</v>
      </c>
      <c r="I361" s="44">
        <v>1000</v>
      </c>
      <c r="J361" s="45">
        <f>Tabla2[[#This Row],[CANTIDAD CARGADAS]]*Tabla2[[#This Row],[COSTOS]]</f>
        <v>3600</v>
      </c>
    </row>
    <row r="362" spans="1:10" x14ac:dyDescent="0.25">
      <c r="A362" s="39">
        <v>384</v>
      </c>
      <c r="B362" s="40">
        <v>925805842</v>
      </c>
      <c r="C362" s="41">
        <v>45079</v>
      </c>
      <c r="D362" s="40" t="s">
        <v>26</v>
      </c>
      <c r="E362" s="42" t="s">
        <v>395</v>
      </c>
      <c r="F362" s="42">
        <v>7</v>
      </c>
      <c r="G362" s="43">
        <v>200</v>
      </c>
      <c r="H362" s="40">
        <f xml:space="preserve"> SUMIFS(Tabla2[CANTIDAD CARGADAS],Tabla2[CODIGO],Tabla2[[#This Row],[CODIGO]]) - SUMIFS(TABLA_CIERRES[CANTIDAD],TABLA_CIERRES[Codigo],Tabla2[[#This Row],[CODIGO]])</f>
        <v>7</v>
      </c>
      <c r="I362" s="44">
        <v>600</v>
      </c>
      <c r="J362" s="45">
        <f>Tabla2[[#This Row],[CANTIDAD CARGADAS]]*Tabla2[[#This Row],[COSTOS]]</f>
        <v>1400</v>
      </c>
    </row>
    <row r="363" spans="1:10" x14ac:dyDescent="0.25">
      <c r="A363" s="39">
        <v>385</v>
      </c>
      <c r="B363" s="40">
        <v>911951330</v>
      </c>
      <c r="C363" s="41">
        <v>45079</v>
      </c>
      <c r="D363" s="40" t="s">
        <v>26</v>
      </c>
      <c r="E363" s="42" t="s">
        <v>396</v>
      </c>
      <c r="F363" s="42">
        <v>4</v>
      </c>
      <c r="G363" s="43">
        <v>600</v>
      </c>
      <c r="H363" s="40">
        <f xml:space="preserve"> SUMIFS(Tabla2[CANTIDAD CARGADAS],Tabla2[CODIGO],Tabla2[[#This Row],[CODIGO]]) - SUMIFS(TABLA_CIERRES[CANTIDAD],TABLA_CIERRES[Codigo],Tabla2[[#This Row],[CODIGO]])</f>
        <v>4</v>
      </c>
      <c r="I363" s="44">
        <v>1400</v>
      </c>
      <c r="J363" s="45">
        <f>Tabla2[[#This Row],[CANTIDAD CARGADAS]]*Tabla2[[#This Row],[COSTOS]]</f>
        <v>2400</v>
      </c>
    </row>
    <row r="364" spans="1:10" x14ac:dyDescent="0.25">
      <c r="A364" s="39">
        <v>386</v>
      </c>
      <c r="B364" s="40">
        <v>314332099</v>
      </c>
      <c r="C364" s="41">
        <v>45079</v>
      </c>
      <c r="D364" s="40" t="s">
        <v>26</v>
      </c>
      <c r="E364" s="42" t="s">
        <v>397</v>
      </c>
      <c r="F364" s="42">
        <v>26</v>
      </c>
      <c r="G364" s="43">
        <v>400</v>
      </c>
      <c r="H364" s="40">
        <f xml:space="preserve"> SUMIFS(Tabla2[CANTIDAD CARGADAS],Tabla2[CODIGO],Tabla2[[#This Row],[CODIGO]]) - SUMIFS(TABLA_CIERRES[CANTIDAD],TABLA_CIERRES[Codigo],Tabla2[[#This Row],[CODIGO]])</f>
        <v>26</v>
      </c>
      <c r="I364" s="44">
        <v>1000</v>
      </c>
      <c r="J364" s="45">
        <f>Tabla2[[#This Row],[CANTIDAD CARGADAS]]*Tabla2[[#This Row],[COSTOS]]</f>
        <v>10400</v>
      </c>
    </row>
    <row r="365" spans="1:10" x14ac:dyDescent="0.25">
      <c r="A365" s="39">
        <v>387</v>
      </c>
      <c r="B365" s="40">
        <v>628020731</v>
      </c>
      <c r="C365" s="41">
        <v>45079</v>
      </c>
      <c r="D365" s="40" t="s">
        <v>26</v>
      </c>
      <c r="E365" s="42" t="s">
        <v>398</v>
      </c>
      <c r="F365" s="42">
        <v>11</v>
      </c>
      <c r="G365" s="43">
        <v>400</v>
      </c>
      <c r="H365" s="40">
        <f xml:space="preserve"> SUMIFS(Tabla2[CANTIDAD CARGADAS],Tabla2[CODIGO],Tabla2[[#This Row],[CODIGO]]) - SUMIFS(TABLA_CIERRES[CANTIDAD],TABLA_CIERRES[Codigo],Tabla2[[#This Row],[CODIGO]])</f>
        <v>11</v>
      </c>
      <c r="I365" s="44">
        <v>1000</v>
      </c>
      <c r="J365" s="45">
        <f>Tabla2[[#This Row],[CANTIDAD CARGADAS]]*Tabla2[[#This Row],[COSTOS]]</f>
        <v>4400</v>
      </c>
    </row>
    <row r="366" spans="1:10" x14ac:dyDescent="0.25">
      <c r="A366" s="39">
        <v>388</v>
      </c>
      <c r="B366" s="40">
        <v>32293694</v>
      </c>
      <c r="C366" s="41">
        <v>45079</v>
      </c>
      <c r="D366" s="40" t="s">
        <v>26</v>
      </c>
      <c r="E366" s="42" t="s">
        <v>399</v>
      </c>
      <c r="F366" s="42">
        <v>11</v>
      </c>
      <c r="G366" s="43">
        <v>200</v>
      </c>
      <c r="H366" s="40">
        <f xml:space="preserve"> SUMIFS(Tabla2[CANTIDAD CARGADAS],Tabla2[CODIGO],Tabla2[[#This Row],[CODIGO]]) - SUMIFS(TABLA_CIERRES[CANTIDAD],TABLA_CIERRES[Codigo],Tabla2[[#This Row],[CODIGO]])</f>
        <v>11</v>
      </c>
      <c r="I366" s="44">
        <v>600</v>
      </c>
      <c r="J366" s="45">
        <f>Tabla2[[#This Row],[CANTIDAD CARGADAS]]*Tabla2[[#This Row],[COSTOS]]</f>
        <v>2200</v>
      </c>
    </row>
    <row r="367" spans="1:10" x14ac:dyDescent="0.25">
      <c r="A367" s="39">
        <v>389</v>
      </c>
      <c r="B367" s="40">
        <v>752983333</v>
      </c>
      <c r="C367" s="41">
        <v>45079</v>
      </c>
      <c r="D367" s="40" t="s">
        <v>26</v>
      </c>
      <c r="E367" s="42" t="s">
        <v>400</v>
      </c>
      <c r="F367" s="42">
        <v>5</v>
      </c>
      <c r="G367" s="43">
        <v>400</v>
      </c>
      <c r="H367" s="40">
        <f xml:space="preserve"> SUMIFS(Tabla2[CANTIDAD CARGADAS],Tabla2[CODIGO],Tabla2[[#This Row],[CODIGO]]) - SUMIFS(TABLA_CIERRES[CANTIDAD],TABLA_CIERRES[Codigo],Tabla2[[#This Row],[CODIGO]])</f>
        <v>5</v>
      </c>
      <c r="I367" s="44">
        <v>1000</v>
      </c>
      <c r="J367" s="45">
        <f>Tabla2[[#This Row],[CANTIDAD CARGADAS]]*Tabla2[[#This Row],[COSTOS]]</f>
        <v>2000</v>
      </c>
    </row>
    <row r="368" spans="1:10" x14ac:dyDescent="0.25">
      <c r="A368" s="39">
        <v>390</v>
      </c>
      <c r="B368" s="40">
        <v>772745666</v>
      </c>
      <c r="C368" s="41">
        <v>45079</v>
      </c>
      <c r="D368" s="40" t="s">
        <v>26</v>
      </c>
      <c r="E368" s="42" t="s">
        <v>401</v>
      </c>
      <c r="F368" s="42">
        <v>10</v>
      </c>
      <c r="G368" s="43">
        <v>200</v>
      </c>
      <c r="H368" s="40">
        <f xml:space="preserve"> SUMIFS(Tabla2[CANTIDAD CARGADAS],Tabla2[CODIGO],Tabla2[[#This Row],[CODIGO]]) - SUMIFS(TABLA_CIERRES[CANTIDAD],TABLA_CIERRES[Codigo],Tabla2[[#This Row],[CODIGO]])</f>
        <v>10</v>
      </c>
      <c r="I368" s="44">
        <v>600</v>
      </c>
      <c r="J368" s="45">
        <f>Tabla2[[#This Row],[CANTIDAD CARGADAS]]*Tabla2[[#This Row],[COSTOS]]</f>
        <v>2000</v>
      </c>
    </row>
    <row r="369" spans="1:10" x14ac:dyDescent="0.25">
      <c r="A369" s="39">
        <v>391</v>
      </c>
      <c r="B369" s="40">
        <v>78903659</v>
      </c>
      <c r="C369" s="41">
        <v>45079</v>
      </c>
      <c r="D369" s="40" t="s">
        <v>26</v>
      </c>
      <c r="E369" s="42" t="s">
        <v>402</v>
      </c>
      <c r="F369" s="42">
        <v>14</v>
      </c>
      <c r="G369" s="43">
        <v>400</v>
      </c>
      <c r="H369" s="40">
        <f xml:space="preserve"> SUMIFS(Tabla2[CANTIDAD CARGADAS],Tabla2[CODIGO],Tabla2[[#This Row],[CODIGO]]) - SUMIFS(TABLA_CIERRES[CANTIDAD],TABLA_CIERRES[Codigo],Tabla2[[#This Row],[CODIGO]])</f>
        <v>14</v>
      </c>
      <c r="I369" s="44">
        <v>1000</v>
      </c>
      <c r="J369" s="45">
        <f>Tabla2[[#This Row],[CANTIDAD CARGADAS]]*Tabla2[[#This Row],[COSTOS]]</f>
        <v>5600</v>
      </c>
    </row>
    <row r="370" spans="1:10" x14ac:dyDescent="0.25">
      <c r="A370" s="39">
        <v>392</v>
      </c>
      <c r="B370" s="40">
        <v>571937688</v>
      </c>
      <c r="C370" s="41">
        <v>45079</v>
      </c>
      <c r="D370" s="40" t="s">
        <v>26</v>
      </c>
      <c r="E370" s="42" t="s">
        <v>403</v>
      </c>
      <c r="F370" s="42">
        <v>5</v>
      </c>
      <c r="G370" s="43">
        <v>200</v>
      </c>
      <c r="H370" s="40">
        <f xml:space="preserve"> SUMIFS(Tabla2[CANTIDAD CARGADAS],Tabla2[CODIGO],Tabla2[[#This Row],[CODIGO]]) - SUMIFS(TABLA_CIERRES[CANTIDAD],TABLA_CIERRES[Codigo],Tabla2[[#This Row],[CODIGO]])</f>
        <v>5</v>
      </c>
      <c r="I370" s="44">
        <v>600</v>
      </c>
      <c r="J370" s="45">
        <f>Tabla2[[#This Row],[CANTIDAD CARGADAS]]*Tabla2[[#This Row],[COSTOS]]</f>
        <v>1000</v>
      </c>
    </row>
    <row r="371" spans="1:10" x14ac:dyDescent="0.25">
      <c r="A371" s="39">
        <v>393</v>
      </c>
      <c r="B371" s="40">
        <v>137019707</v>
      </c>
      <c r="C371" s="41">
        <v>45079</v>
      </c>
      <c r="D371" s="40" t="s">
        <v>26</v>
      </c>
      <c r="E371" s="42" t="s">
        <v>404</v>
      </c>
      <c r="F371" s="42">
        <v>7</v>
      </c>
      <c r="G371" s="43">
        <v>600</v>
      </c>
      <c r="H371" s="40">
        <f xml:space="preserve"> SUMIFS(Tabla2[CANTIDAD CARGADAS],Tabla2[CODIGO],Tabla2[[#This Row],[CODIGO]]) - SUMIFS(TABLA_CIERRES[CANTIDAD],TABLA_CIERRES[Codigo],Tabla2[[#This Row],[CODIGO]])</f>
        <v>7</v>
      </c>
      <c r="I371" s="44">
        <v>1400</v>
      </c>
      <c r="J371" s="45">
        <f>Tabla2[[#This Row],[CANTIDAD CARGADAS]]*Tabla2[[#This Row],[COSTOS]]</f>
        <v>4200</v>
      </c>
    </row>
    <row r="372" spans="1:10" x14ac:dyDescent="0.25">
      <c r="A372" s="39">
        <v>394</v>
      </c>
      <c r="B372" s="40">
        <v>42030967</v>
      </c>
      <c r="C372" s="41">
        <v>45079</v>
      </c>
      <c r="D372" s="40" t="s">
        <v>26</v>
      </c>
      <c r="E372" s="42" t="s">
        <v>405</v>
      </c>
      <c r="F372" s="42">
        <v>8</v>
      </c>
      <c r="G372" s="43">
        <v>400</v>
      </c>
      <c r="H372" s="40">
        <f xml:space="preserve"> SUMIFS(Tabla2[CANTIDAD CARGADAS],Tabla2[CODIGO],Tabla2[[#This Row],[CODIGO]]) - SUMIFS(TABLA_CIERRES[CANTIDAD],TABLA_CIERRES[Codigo],Tabla2[[#This Row],[CODIGO]])</f>
        <v>8</v>
      </c>
      <c r="I372" s="44">
        <v>1000</v>
      </c>
      <c r="J372" s="45">
        <f>Tabla2[[#This Row],[CANTIDAD CARGADAS]]*Tabla2[[#This Row],[COSTOS]]</f>
        <v>3200</v>
      </c>
    </row>
    <row r="373" spans="1:10" x14ac:dyDescent="0.25">
      <c r="A373" s="39">
        <v>395</v>
      </c>
      <c r="B373" s="40">
        <v>717861779</v>
      </c>
      <c r="C373" s="41">
        <v>45079</v>
      </c>
      <c r="D373" s="40" t="s">
        <v>26</v>
      </c>
      <c r="E373" s="42" t="s">
        <v>406</v>
      </c>
      <c r="F373" s="42">
        <v>5</v>
      </c>
      <c r="G373" s="43">
        <v>200</v>
      </c>
      <c r="H373" s="40">
        <f xml:space="preserve"> SUMIFS(Tabla2[CANTIDAD CARGADAS],Tabla2[CODIGO],Tabla2[[#This Row],[CODIGO]]) - SUMIFS(TABLA_CIERRES[CANTIDAD],TABLA_CIERRES[Codigo],Tabla2[[#This Row],[CODIGO]])</f>
        <v>5</v>
      </c>
      <c r="I373" s="44">
        <v>600</v>
      </c>
      <c r="J373" s="45">
        <f>Tabla2[[#This Row],[CANTIDAD CARGADAS]]*Tabla2[[#This Row],[COSTOS]]</f>
        <v>1000</v>
      </c>
    </row>
    <row r="374" spans="1:10" x14ac:dyDescent="0.25">
      <c r="A374" s="39">
        <v>396</v>
      </c>
      <c r="B374" s="40">
        <v>850689710</v>
      </c>
      <c r="C374" s="41">
        <v>45079</v>
      </c>
      <c r="D374" s="40" t="s">
        <v>26</v>
      </c>
      <c r="E374" s="42" t="s">
        <v>407</v>
      </c>
      <c r="F374" s="42">
        <v>1</v>
      </c>
      <c r="G374" s="43">
        <v>600</v>
      </c>
      <c r="H374" s="40">
        <f xml:space="preserve"> SUMIFS(Tabla2[CANTIDAD CARGADAS],Tabla2[CODIGO],Tabla2[[#This Row],[CODIGO]]) - SUMIFS(TABLA_CIERRES[CANTIDAD],TABLA_CIERRES[Codigo],Tabla2[[#This Row],[CODIGO]])</f>
        <v>1</v>
      </c>
      <c r="I374" s="44">
        <v>1400</v>
      </c>
      <c r="J374" s="45">
        <f>Tabla2[[#This Row],[CANTIDAD CARGADAS]]*Tabla2[[#This Row],[COSTOS]]</f>
        <v>600</v>
      </c>
    </row>
    <row r="375" spans="1:10" x14ac:dyDescent="0.25">
      <c r="A375" s="39">
        <v>397</v>
      </c>
      <c r="B375" s="40">
        <v>269600459</v>
      </c>
      <c r="C375" s="41">
        <v>45079</v>
      </c>
      <c r="D375" s="40" t="s">
        <v>26</v>
      </c>
      <c r="E375" s="42" t="s">
        <v>408</v>
      </c>
      <c r="F375" s="42">
        <v>12</v>
      </c>
      <c r="G375" s="43">
        <v>600</v>
      </c>
      <c r="H375" s="40">
        <f xml:space="preserve"> SUMIFS(Tabla2[CANTIDAD CARGADAS],Tabla2[CODIGO],Tabla2[[#This Row],[CODIGO]]) - SUMIFS(TABLA_CIERRES[CANTIDAD],TABLA_CIERRES[Codigo],Tabla2[[#This Row],[CODIGO]])</f>
        <v>12</v>
      </c>
      <c r="I375" s="44">
        <v>1200</v>
      </c>
      <c r="J375" s="45">
        <f>Tabla2[[#This Row],[CANTIDAD CARGADAS]]*Tabla2[[#This Row],[COSTOS]]</f>
        <v>7200</v>
      </c>
    </row>
    <row r="376" spans="1:10" x14ac:dyDescent="0.25">
      <c r="A376" s="39">
        <v>398</v>
      </c>
      <c r="B376" s="40">
        <v>281432047</v>
      </c>
      <c r="C376" s="41">
        <v>45079</v>
      </c>
      <c r="D376" s="40" t="s">
        <v>26</v>
      </c>
      <c r="E376" s="42" t="s">
        <v>409</v>
      </c>
      <c r="F376" s="42">
        <v>10</v>
      </c>
      <c r="G376" s="43">
        <v>400</v>
      </c>
      <c r="H376" s="40">
        <f xml:space="preserve"> SUMIFS(Tabla2[CANTIDAD CARGADAS],Tabla2[CODIGO],Tabla2[[#This Row],[CODIGO]]) - SUMIFS(TABLA_CIERRES[CANTIDAD],TABLA_CIERRES[Codigo],Tabla2[[#This Row],[CODIGO]])</f>
        <v>10</v>
      </c>
      <c r="I376" s="44">
        <v>1000</v>
      </c>
      <c r="J376" s="45">
        <f>Tabla2[[#This Row],[CANTIDAD CARGADAS]]*Tabla2[[#This Row],[COSTOS]]</f>
        <v>4000</v>
      </c>
    </row>
    <row r="377" spans="1:10" x14ac:dyDescent="0.25">
      <c r="A377" s="39">
        <v>399</v>
      </c>
      <c r="B377" s="40">
        <v>930549129</v>
      </c>
      <c r="C377" s="41">
        <v>45079</v>
      </c>
      <c r="D377" s="40" t="s">
        <v>26</v>
      </c>
      <c r="E377" s="42" t="s">
        <v>410</v>
      </c>
      <c r="F377" s="42">
        <v>15</v>
      </c>
      <c r="G377" s="43">
        <v>200</v>
      </c>
      <c r="H377" s="40">
        <f xml:space="preserve"> SUMIFS(Tabla2[CANTIDAD CARGADAS],Tabla2[CODIGO],Tabla2[[#This Row],[CODIGO]]) - SUMIFS(TABLA_CIERRES[CANTIDAD],TABLA_CIERRES[Codigo],Tabla2[[#This Row],[CODIGO]])</f>
        <v>15</v>
      </c>
      <c r="I377" s="44">
        <v>600</v>
      </c>
      <c r="J377" s="45">
        <f>Tabla2[[#This Row],[CANTIDAD CARGADAS]]*Tabla2[[#This Row],[COSTOS]]</f>
        <v>3000</v>
      </c>
    </row>
    <row r="378" spans="1:10" x14ac:dyDescent="0.25">
      <c r="A378" s="39">
        <v>400</v>
      </c>
      <c r="B378" s="40">
        <v>888939329</v>
      </c>
      <c r="C378" s="41">
        <v>45079</v>
      </c>
      <c r="D378" s="40" t="s">
        <v>26</v>
      </c>
      <c r="E378" s="42" t="s">
        <v>411</v>
      </c>
      <c r="F378" s="42">
        <v>14</v>
      </c>
      <c r="G378" s="43">
        <v>400</v>
      </c>
      <c r="H378" s="40">
        <f xml:space="preserve"> SUMIFS(Tabla2[CANTIDAD CARGADAS],Tabla2[CODIGO],Tabla2[[#This Row],[CODIGO]]) - SUMIFS(TABLA_CIERRES[CANTIDAD],TABLA_CIERRES[Codigo],Tabla2[[#This Row],[CODIGO]])</f>
        <v>14</v>
      </c>
      <c r="I378" s="44">
        <v>1000</v>
      </c>
      <c r="J378" s="45">
        <f>Tabla2[[#This Row],[CANTIDAD CARGADAS]]*Tabla2[[#This Row],[COSTOS]]</f>
        <v>5600</v>
      </c>
    </row>
    <row r="379" spans="1:10" x14ac:dyDescent="0.25">
      <c r="A379" s="39">
        <v>401</v>
      </c>
      <c r="B379" s="40">
        <v>764281208</v>
      </c>
      <c r="C379" s="41">
        <v>45079</v>
      </c>
      <c r="D379" s="40" t="s">
        <v>26</v>
      </c>
      <c r="E379" s="42" t="s">
        <v>412</v>
      </c>
      <c r="F379" s="42">
        <v>22</v>
      </c>
      <c r="G379" s="43">
        <v>200</v>
      </c>
      <c r="H379" s="40">
        <f xml:space="preserve"> SUMIFS(Tabla2[CANTIDAD CARGADAS],Tabla2[CODIGO],Tabla2[[#This Row],[CODIGO]]) - SUMIFS(TABLA_CIERRES[CANTIDAD],TABLA_CIERRES[Codigo],Tabla2[[#This Row],[CODIGO]])</f>
        <v>22</v>
      </c>
      <c r="I379" s="44">
        <v>600</v>
      </c>
      <c r="J379" s="45">
        <f>Tabla2[[#This Row],[CANTIDAD CARGADAS]]*Tabla2[[#This Row],[COSTOS]]</f>
        <v>4400</v>
      </c>
    </row>
    <row r="380" spans="1:10" x14ac:dyDescent="0.25">
      <c r="A380" s="39">
        <v>402</v>
      </c>
      <c r="B380" s="40">
        <v>181205848</v>
      </c>
      <c r="C380" s="41">
        <v>45079</v>
      </c>
      <c r="D380" s="40" t="s">
        <v>26</v>
      </c>
      <c r="E380" s="42" t="s">
        <v>413</v>
      </c>
      <c r="F380" s="42">
        <v>7</v>
      </c>
      <c r="G380" s="43">
        <v>400</v>
      </c>
      <c r="H380" s="40">
        <f xml:space="preserve"> SUMIFS(Tabla2[CANTIDAD CARGADAS],Tabla2[CODIGO],Tabla2[[#This Row],[CODIGO]]) - SUMIFS(TABLA_CIERRES[CANTIDAD],TABLA_CIERRES[Codigo],Tabla2[[#This Row],[CODIGO]])</f>
        <v>7</v>
      </c>
      <c r="I380" s="44">
        <v>1000</v>
      </c>
      <c r="J380" s="45">
        <f>Tabla2[[#This Row],[CANTIDAD CARGADAS]]*Tabla2[[#This Row],[COSTOS]]</f>
        <v>2800</v>
      </c>
    </row>
    <row r="381" spans="1:10" x14ac:dyDescent="0.25">
      <c r="A381" s="39">
        <v>403</v>
      </c>
      <c r="B381" s="40">
        <v>955103612</v>
      </c>
      <c r="C381" s="41">
        <v>45079</v>
      </c>
      <c r="D381" s="40" t="s">
        <v>26</v>
      </c>
      <c r="E381" s="42" t="s">
        <v>414</v>
      </c>
      <c r="F381" s="42">
        <v>8</v>
      </c>
      <c r="G381" s="43">
        <v>400</v>
      </c>
      <c r="H381" s="40">
        <f xml:space="preserve"> SUMIFS(Tabla2[CANTIDAD CARGADAS],Tabla2[CODIGO],Tabla2[[#This Row],[CODIGO]]) - SUMIFS(TABLA_CIERRES[CANTIDAD],TABLA_CIERRES[Codigo],Tabla2[[#This Row],[CODIGO]])</f>
        <v>17</v>
      </c>
      <c r="I381" s="44">
        <v>1000</v>
      </c>
      <c r="J381" s="45">
        <f>Tabla2[[#This Row],[CANTIDAD CARGADAS]]*Tabla2[[#This Row],[COSTOS]]</f>
        <v>3200</v>
      </c>
    </row>
    <row r="382" spans="1:10" x14ac:dyDescent="0.25">
      <c r="A382" s="39">
        <v>404</v>
      </c>
      <c r="B382" s="40">
        <v>955450663</v>
      </c>
      <c r="C382" s="41">
        <v>45079</v>
      </c>
      <c r="D382" s="40" t="s">
        <v>26</v>
      </c>
      <c r="E382" s="42" t="s">
        <v>415</v>
      </c>
      <c r="F382" s="42">
        <v>7</v>
      </c>
      <c r="G382" s="43">
        <v>400</v>
      </c>
      <c r="H382" s="40">
        <f xml:space="preserve"> SUMIFS(Tabla2[CANTIDAD CARGADAS],Tabla2[CODIGO],Tabla2[[#This Row],[CODIGO]]) - SUMIFS(TABLA_CIERRES[CANTIDAD],TABLA_CIERRES[Codigo],Tabla2[[#This Row],[CODIGO]])</f>
        <v>7</v>
      </c>
      <c r="I382" s="44">
        <v>1000</v>
      </c>
      <c r="J382" s="45">
        <f>Tabla2[[#This Row],[CANTIDAD CARGADAS]]*Tabla2[[#This Row],[COSTOS]]</f>
        <v>2800</v>
      </c>
    </row>
    <row r="383" spans="1:10" x14ac:dyDescent="0.25">
      <c r="A383" s="39">
        <v>405</v>
      </c>
      <c r="B383" s="40">
        <v>955103612</v>
      </c>
      <c r="C383" s="41">
        <v>45079</v>
      </c>
      <c r="D383" s="40" t="s">
        <v>26</v>
      </c>
      <c r="E383" s="42" t="s">
        <v>414</v>
      </c>
      <c r="F383" s="42">
        <v>9</v>
      </c>
      <c r="G383" s="43">
        <v>400</v>
      </c>
      <c r="H383" s="40">
        <f xml:space="preserve"> SUMIFS(Tabla2[CANTIDAD CARGADAS],Tabla2[CODIGO],Tabla2[[#This Row],[CODIGO]]) - SUMIFS(TABLA_CIERRES[CANTIDAD],TABLA_CIERRES[Codigo],Tabla2[[#This Row],[CODIGO]])</f>
        <v>17</v>
      </c>
      <c r="I383" s="44">
        <v>1000</v>
      </c>
      <c r="J383" s="45">
        <f>Tabla2[[#This Row],[CANTIDAD CARGADAS]]*Tabla2[[#This Row],[COSTOS]]</f>
        <v>3600</v>
      </c>
    </row>
    <row r="384" spans="1:10" x14ac:dyDescent="0.25">
      <c r="A384" s="39">
        <v>406</v>
      </c>
      <c r="B384" s="40">
        <v>766433779</v>
      </c>
      <c r="C384" s="41">
        <v>45079</v>
      </c>
      <c r="D384" s="40" t="s">
        <v>26</v>
      </c>
      <c r="E384" s="42" t="s">
        <v>416</v>
      </c>
      <c r="F384" s="42">
        <v>1</v>
      </c>
      <c r="G384" s="43">
        <v>200</v>
      </c>
      <c r="H384" s="40">
        <f xml:space="preserve"> SUMIFS(Tabla2[CANTIDAD CARGADAS],Tabla2[CODIGO],Tabla2[[#This Row],[CODIGO]]) - SUMIFS(TABLA_CIERRES[CANTIDAD],TABLA_CIERRES[Codigo],Tabla2[[#This Row],[CODIGO]])</f>
        <v>1</v>
      </c>
      <c r="I384" s="44">
        <v>600</v>
      </c>
      <c r="J384" s="45">
        <f>Tabla2[[#This Row],[CANTIDAD CARGADAS]]*Tabla2[[#This Row],[COSTOS]]</f>
        <v>200</v>
      </c>
    </row>
    <row r="385" spans="1:10" x14ac:dyDescent="0.25">
      <c r="A385" s="39">
        <v>407</v>
      </c>
      <c r="B385" s="40">
        <v>716471961</v>
      </c>
      <c r="C385" s="41">
        <v>45079</v>
      </c>
      <c r="D385" s="40" t="s">
        <v>26</v>
      </c>
      <c r="E385" s="42" t="s">
        <v>417</v>
      </c>
      <c r="F385" s="42">
        <v>2</v>
      </c>
      <c r="G385" s="43">
        <v>400</v>
      </c>
      <c r="H385" s="40">
        <f xml:space="preserve"> SUMIFS(Tabla2[CANTIDAD CARGADAS],Tabla2[CODIGO],Tabla2[[#This Row],[CODIGO]]) - SUMIFS(TABLA_CIERRES[CANTIDAD],TABLA_CIERRES[Codigo],Tabla2[[#This Row],[CODIGO]])</f>
        <v>2</v>
      </c>
      <c r="I385" s="44">
        <v>1000</v>
      </c>
      <c r="J385" s="45">
        <f>Tabla2[[#This Row],[CANTIDAD CARGADAS]]*Tabla2[[#This Row],[COSTOS]]</f>
        <v>800</v>
      </c>
    </row>
    <row r="386" spans="1:10" x14ac:dyDescent="0.25">
      <c r="A386" s="39">
        <v>408</v>
      </c>
      <c r="B386" s="40">
        <v>25755624</v>
      </c>
      <c r="C386" s="41">
        <v>45079</v>
      </c>
      <c r="D386" s="40" t="s">
        <v>26</v>
      </c>
      <c r="E386" s="42" t="s">
        <v>418</v>
      </c>
      <c r="F386" s="42">
        <v>4</v>
      </c>
      <c r="G386" s="43">
        <v>400</v>
      </c>
      <c r="H386" s="40">
        <f xml:space="preserve"> SUMIFS(Tabla2[CANTIDAD CARGADAS],Tabla2[CODIGO],Tabla2[[#This Row],[CODIGO]]) - SUMIFS(TABLA_CIERRES[CANTIDAD],TABLA_CIERRES[Codigo],Tabla2[[#This Row],[CODIGO]])</f>
        <v>4</v>
      </c>
      <c r="I386" s="44">
        <v>1000</v>
      </c>
      <c r="J386" s="45">
        <f>Tabla2[[#This Row],[CANTIDAD CARGADAS]]*Tabla2[[#This Row],[COSTOS]]</f>
        <v>1600</v>
      </c>
    </row>
    <row r="387" spans="1:10" x14ac:dyDescent="0.25">
      <c r="A387" s="39">
        <v>409</v>
      </c>
      <c r="B387" s="40">
        <v>211494658</v>
      </c>
      <c r="C387" s="41">
        <v>45079</v>
      </c>
      <c r="D387" s="40" t="s">
        <v>210</v>
      </c>
      <c r="E387" s="42" t="s">
        <v>419</v>
      </c>
      <c r="F387" s="42">
        <v>10</v>
      </c>
      <c r="G387" s="43">
        <v>300</v>
      </c>
      <c r="H387" s="40">
        <f xml:space="preserve"> SUMIFS(Tabla2[CANTIDAD CARGADAS],Tabla2[CODIGO],Tabla2[[#This Row],[CODIGO]]) - SUMIFS(TABLA_CIERRES[CANTIDAD],TABLA_CIERRES[Codigo],Tabla2[[#This Row],[CODIGO]])</f>
        <v>9</v>
      </c>
      <c r="I387" s="44">
        <v>700</v>
      </c>
      <c r="J387" s="45">
        <f>Tabla2[[#This Row],[CANTIDAD CARGADAS]]*Tabla2[[#This Row],[COSTOS]]</f>
        <v>3000</v>
      </c>
    </row>
    <row r="388" spans="1:10" x14ac:dyDescent="0.25">
      <c r="A388" s="39">
        <v>410</v>
      </c>
      <c r="B388" s="40">
        <v>496664605</v>
      </c>
      <c r="C388" s="41">
        <v>45079</v>
      </c>
      <c r="D388" s="40" t="s">
        <v>26</v>
      </c>
      <c r="E388" s="42" t="s">
        <v>420</v>
      </c>
      <c r="F388" s="42">
        <v>5</v>
      </c>
      <c r="G388" s="43">
        <v>200</v>
      </c>
      <c r="H388" s="40">
        <f xml:space="preserve"> SUMIFS(Tabla2[CANTIDAD CARGADAS],Tabla2[CODIGO],Tabla2[[#This Row],[CODIGO]]) - SUMIFS(TABLA_CIERRES[CANTIDAD],TABLA_CIERRES[Codigo],Tabla2[[#This Row],[CODIGO]])</f>
        <v>5</v>
      </c>
      <c r="I388" s="44">
        <v>600</v>
      </c>
      <c r="J388" s="45">
        <f>Tabla2[[#This Row],[CANTIDAD CARGADAS]]*Tabla2[[#This Row],[COSTOS]]</f>
        <v>1000</v>
      </c>
    </row>
    <row r="389" spans="1:10" x14ac:dyDescent="0.25">
      <c r="A389" s="39">
        <v>411</v>
      </c>
      <c r="B389" s="40">
        <v>305387934</v>
      </c>
      <c r="C389" s="41">
        <v>45079</v>
      </c>
      <c r="D389" s="40" t="s">
        <v>26</v>
      </c>
      <c r="E389" s="42" t="s">
        <v>421</v>
      </c>
      <c r="F389" s="42">
        <v>3</v>
      </c>
      <c r="G389" s="43">
        <v>400</v>
      </c>
      <c r="H389" s="40">
        <f xml:space="preserve"> SUMIFS(Tabla2[CANTIDAD CARGADAS],Tabla2[CODIGO],Tabla2[[#This Row],[CODIGO]]) - SUMIFS(TABLA_CIERRES[CANTIDAD],TABLA_CIERRES[Codigo],Tabla2[[#This Row],[CODIGO]])</f>
        <v>3</v>
      </c>
      <c r="I389" s="44">
        <v>1000</v>
      </c>
      <c r="J389" s="45">
        <f>Tabla2[[#This Row],[CANTIDAD CARGADAS]]*Tabla2[[#This Row],[COSTOS]]</f>
        <v>1200</v>
      </c>
    </row>
    <row r="390" spans="1:10" x14ac:dyDescent="0.25">
      <c r="A390" s="39">
        <v>412</v>
      </c>
      <c r="B390" s="40">
        <v>698838808</v>
      </c>
      <c r="C390" s="41">
        <v>45079</v>
      </c>
      <c r="D390" s="40" t="s">
        <v>26</v>
      </c>
      <c r="E390" s="42" t="s">
        <v>422</v>
      </c>
      <c r="F390" s="42">
        <v>5</v>
      </c>
      <c r="G390" s="43">
        <v>400</v>
      </c>
      <c r="H390" s="40">
        <f xml:space="preserve"> SUMIFS(Tabla2[CANTIDAD CARGADAS],Tabla2[CODIGO],Tabla2[[#This Row],[CODIGO]]) - SUMIFS(TABLA_CIERRES[CANTIDAD],TABLA_CIERRES[Codigo],Tabla2[[#This Row],[CODIGO]])</f>
        <v>5</v>
      </c>
      <c r="I390" s="44">
        <v>1000</v>
      </c>
      <c r="J390" s="45">
        <f>Tabla2[[#This Row],[CANTIDAD CARGADAS]]*Tabla2[[#This Row],[COSTOS]]</f>
        <v>2000</v>
      </c>
    </row>
    <row r="391" spans="1:10" x14ac:dyDescent="0.25">
      <c r="A391" s="39">
        <v>413</v>
      </c>
      <c r="B391" s="40">
        <v>543014943</v>
      </c>
      <c r="C391" s="41">
        <v>45079</v>
      </c>
      <c r="D391" s="40" t="s">
        <v>26</v>
      </c>
      <c r="E391" s="42" t="s">
        <v>423</v>
      </c>
      <c r="F391" s="42">
        <v>21</v>
      </c>
      <c r="G391" s="43">
        <v>400</v>
      </c>
      <c r="H391" s="40">
        <f xml:space="preserve"> SUMIFS(Tabla2[CANTIDAD CARGADAS],Tabla2[CODIGO],Tabla2[[#This Row],[CODIGO]]) - SUMIFS(TABLA_CIERRES[CANTIDAD],TABLA_CIERRES[Codigo],Tabla2[[#This Row],[CODIGO]])</f>
        <v>21</v>
      </c>
      <c r="I391" s="44">
        <v>1000</v>
      </c>
      <c r="J391" s="45">
        <f>Tabla2[[#This Row],[CANTIDAD CARGADAS]]*Tabla2[[#This Row],[COSTOS]]</f>
        <v>8400</v>
      </c>
    </row>
    <row r="392" spans="1:10" x14ac:dyDescent="0.25">
      <c r="A392" s="39">
        <v>414</v>
      </c>
      <c r="B392" s="40">
        <v>925758782</v>
      </c>
      <c r="C392" s="41">
        <v>45079</v>
      </c>
      <c r="D392" s="40" t="s">
        <v>26</v>
      </c>
      <c r="E392" s="42" t="s">
        <v>424</v>
      </c>
      <c r="F392" s="42">
        <v>2</v>
      </c>
      <c r="G392" s="43">
        <v>600</v>
      </c>
      <c r="H392" s="40">
        <f xml:space="preserve"> SUMIFS(Tabla2[CANTIDAD CARGADAS],Tabla2[CODIGO],Tabla2[[#This Row],[CODIGO]]) - SUMIFS(TABLA_CIERRES[CANTIDAD],TABLA_CIERRES[Codigo],Tabla2[[#This Row],[CODIGO]])</f>
        <v>2</v>
      </c>
      <c r="I392" s="44">
        <v>1400</v>
      </c>
      <c r="J392" s="45">
        <f>Tabla2[[#This Row],[CANTIDAD CARGADAS]]*Tabla2[[#This Row],[COSTOS]]</f>
        <v>1200</v>
      </c>
    </row>
    <row r="393" spans="1:10" x14ac:dyDescent="0.25">
      <c r="A393" s="39">
        <v>415</v>
      </c>
      <c r="B393" s="40">
        <v>22210762</v>
      </c>
      <c r="C393" s="41">
        <v>45079</v>
      </c>
      <c r="D393" s="40" t="s">
        <v>26</v>
      </c>
      <c r="E393" s="42" t="s">
        <v>425</v>
      </c>
      <c r="F393" s="42">
        <v>3</v>
      </c>
      <c r="G393" s="43">
        <v>400</v>
      </c>
      <c r="H393" s="40">
        <f xml:space="preserve"> SUMIFS(Tabla2[CANTIDAD CARGADAS],Tabla2[CODIGO],Tabla2[[#This Row],[CODIGO]]) - SUMIFS(TABLA_CIERRES[CANTIDAD],TABLA_CIERRES[Codigo],Tabla2[[#This Row],[CODIGO]])</f>
        <v>3</v>
      </c>
      <c r="I393" s="44">
        <v>1000</v>
      </c>
      <c r="J393" s="45">
        <f>Tabla2[[#This Row],[CANTIDAD CARGADAS]]*Tabla2[[#This Row],[COSTOS]]</f>
        <v>1200</v>
      </c>
    </row>
    <row r="394" spans="1:10" x14ac:dyDescent="0.25">
      <c r="A394" s="39">
        <v>416</v>
      </c>
      <c r="B394" s="40">
        <v>107822100</v>
      </c>
      <c r="C394" s="41">
        <v>45079</v>
      </c>
      <c r="D394" s="40" t="s">
        <v>26</v>
      </c>
      <c r="E394" s="42" t="s">
        <v>426</v>
      </c>
      <c r="F394" s="42">
        <v>19</v>
      </c>
      <c r="G394" s="43">
        <v>200</v>
      </c>
      <c r="H394" s="40">
        <f xml:space="preserve"> SUMIFS(Tabla2[CANTIDAD CARGADAS],Tabla2[CODIGO],Tabla2[[#This Row],[CODIGO]]) - SUMIFS(TABLA_CIERRES[CANTIDAD],TABLA_CIERRES[Codigo],Tabla2[[#This Row],[CODIGO]])</f>
        <v>19</v>
      </c>
      <c r="I394" s="44">
        <v>600</v>
      </c>
      <c r="J394" s="45">
        <f>Tabla2[[#This Row],[CANTIDAD CARGADAS]]*Tabla2[[#This Row],[COSTOS]]</f>
        <v>3800</v>
      </c>
    </row>
    <row r="395" spans="1:10" x14ac:dyDescent="0.25">
      <c r="A395" s="39">
        <v>417</v>
      </c>
      <c r="B395" s="40">
        <v>963764368</v>
      </c>
      <c r="C395" s="41">
        <v>45079</v>
      </c>
      <c r="D395" s="40" t="s">
        <v>26</v>
      </c>
      <c r="E395" s="42" t="s">
        <v>427</v>
      </c>
      <c r="F395" s="42">
        <v>1</v>
      </c>
      <c r="G395" s="43">
        <v>400</v>
      </c>
      <c r="H395" s="40">
        <f xml:space="preserve"> SUMIFS(Tabla2[CANTIDAD CARGADAS],Tabla2[CODIGO],Tabla2[[#This Row],[CODIGO]]) - SUMIFS(TABLA_CIERRES[CANTIDAD],TABLA_CIERRES[Codigo],Tabla2[[#This Row],[CODIGO]])</f>
        <v>1</v>
      </c>
      <c r="I395" s="44">
        <v>1000</v>
      </c>
      <c r="J395" s="45">
        <f>Tabla2[[#This Row],[CANTIDAD CARGADAS]]*Tabla2[[#This Row],[COSTOS]]</f>
        <v>400</v>
      </c>
    </row>
    <row r="396" spans="1:10" x14ac:dyDescent="0.25">
      <c r="A396" s="39">
        <v>418</v>
      </c>
      <c r="B396" s="40">
        <v>571063757</v>
      </c>
      <c r="C396" s="41">
        <v>45079</v>
      </c>
      <c r="D396" s="40" t="s">
        <v>26</v>
      </c>
      <c r="E396" s="42" t="s">
        <v>428</v>
      </c>
      <c r="F396" s="42">
        <v>2</v>
      </c>
      <c r="G396" s="43">
        <v>400</v>
      </c>
      <c r="H396" s="40">
        <f xml:space="preserve"> SUMIFS(Tabla2[CANTIDAD CARGADAS],Tabla2[CODIGO],Tabla2[[#This Row],[CODIGO]]) - SUMIFS(TABLA_CIERRES[CANTIDAD],TABLA_CIERRES[Codigo],Tabla2[[#This Row],[CODIGO]])</f>
        <v>2</v>
      </c>
      <c r="I396" s="44">
        <v>1000</v>
      </c>
      <c r="J396" s="45">
        <f>Tabla2[[#This Row],[CANTIDAD CARGADAS]]*Tabla2[[#This Row],[COSTOS]]</f>
        <v>800</v>
      </c>
    </row>
    <row r="397" spans="1:10" x14ac:dyDescent="0.25">
      <c r="A397" s="39">
        <v>419</v>
      </c>
      <c r="B397" s="40">
        <v>421595884</v>
      </c>
      <c r="C397" s="41">
        <v>45079</v>
      </c>
      <c r="D397" s="40" t="s">
        <v>26</v>
      </c>
      <c r="E397" s="42" t="s">
        <v>429</v>
      </c>
      <c r="F397" s="42">
        <v>8</v>
      </c>
      <c r="G397" s="43">
        <v>400</v>
      </c>
      <c r="H397" s="40">
        <f xml:space="preserve"> SUMIFS(Tabla2[CANTIDAD CARGADAS],Tabla2[CODIGO],Tabla2[[#This Row],[CODIGO]]) - SUMIFS(TABLA_CIERRES[CANTIDAD],TABLA_CIERRES[Codigo],Tabla2[[#This Row],[CODIGO]])</f>
        <v>8</v>
      </c>
      <c r="I397" s="44">
        <v>1000</v>
      </c>
      <c r="J397" s="45">
        <f>Tabla2[[#This Row],[CANTIDAD CARGADAS]]*Tabla2[[#This Row],[COSTOS]]</f>
        <v>3200</v>
      </c>
    </row>
    <row r="398" spans="1:10" x14ac:dyDescent="0.25">
      <c r="A398" s="39">
        <v>420</v>
      </c>
      <c r="B398" s="40">
        <v>355459684</v>
      </c>
      <c r="C398" s="41">
        <v>45109</v>
      </c>
      <c r="D398" s="40" t="s">
        <v>26</v>
      </c>
      <c r="E398" s="42" t="s">
        <v>430</v>
      </c>
      <c r="F398" s="42">
        <v>2</v>
      </c>
      <c r="G398" s="43">
        <v>400</v>
      </c>
      <c r="H398" s="40">
        <f xml:space="preserve"> SUMIFS(Tabla2[CANTIDAD CARGADAS],Tabla2[CODIGO],Tabla2[[#This Row],[CODIGO]]) - SUMIFS(TABLA_CIERRES[CANTIDAD],TABLA_CIERRES[Codigo],Tabla2[[#This Row],[CODIGO]])</f>
        <v>2</v>
      </c>
      <c r="I398" s="44">
        <v>1000</v>
      </c>
      <c r="J398" s="45">
        <f>Tabla2[[#This Row],[CANTIDAD CARGADAS]]*Tabla2[[#This Row],[COSTOS]]</f>
        <v>800</v>
      </c>
    </row>
    <row r="399" spans="1:10" x14ac:dyDescent="0.25">
      <c r="A399" s="39">
        <v>421</v>
      </c>
      <c r="B399" s="40">
        <v>18782167</v>
      </c>
      <c r="C399" s="41">
        <v>45109</v>
      </c>
      <c r="D399" s="40" t="s">
        <v>26</v>
      </c>
      <c r="E399" s="42" t="s">
        <v>431</v>
      </c>
      <c r="F399" s="42">
        <v>17</v>
      </c>
      <c r="G399" s="43">
        <v>400</v>
      </c>
      <c r="H399" s="40">
        <f xml:space="preserve"> SUMIFS(Tabla2[CANTIDAD CARGADAS],Tabla2[CODIGO],Tabla2[[#This Row],[CODIGO]]) - SUMIFS(TABLA_CIERRES[CANTIDAD],TABLA_CIERRES[Codigo],Tabla2[[#This Row],[CODIGO]])</f>
        <v>17</v>
      </c>
      <c r="I399" s="44">
        <v>1000</v>
      </c>
      <c r="J399" s="45">
        <f>Tabla2[[#This Row],[CANTIDAD CARGADAS]]*Tabla2[[#This Row],[COSTOS]]</f>
        <v>6800</v>
      </c>
    </row>
    <row r="400" spans="1:10" x14ac:dyDescent="0.25">
      <c r="A400" s="39">
        <v>422</v>
      </c>
      <c r="B400" s="40">
        <v>145438527</v>
      </c>
      <c r="C400" s="41">
        <v>45109</v>
      </c>
      <c r="D400" s="40" t="s">
        <v>26</v>
      </c>
      <c r="E400" s="42" t="s">
        <v>432</v>
      </c>
      <c r="F400" s="42">
        <v>12</v>
      </c>
      <c r="G400" s="43">
        <v>400</v>
      </c>
      <c r="H400" s="40">
        <f xml:space="preserve"> SUMIFS(Tabla2[CANTIDAD CARGADAS],Tabla2[CODIGO],Tabla2[[#This Row],[CODIGO]]) - SUMIFS(TABLA_CIERRES[CANTIDAD],TABLA_CIERRES[Codigo],Tabla2[[#This Row],[CODIGO]])</f>
        <v>12</v>
      </c>
      <c r="I400" s="44">
        <v>1000</v>
      </c>
      <c r="J400" s="45">
        <f>Tabla2[[#This Row],[CANTIDAD CARGADAS]]*Tabla2[[#This Row],[COSTOS]]</f>
        <v>4800</v>
      </c>
    </row>
    <row r="401" spans="1:10" x14ac:dyDescent="0.25">
      <c r="A401" s="39">
        <v>423</v>
      </c>
      <c r="B401" s="40">
        <v>149780316</v>
      </c>
      <c r="C401" s="41">
        <v>45109</v>
      </c>
      <c r="D401" s="40" t="s">
        <v>26</v>
      </c>
      <c r="E401" s="42" t="s">
        <v>433</v>
      </c>
      <c r="F401" s="42">
        <v>5</v>
      </c>
      <c r="G401" s="43">
        <v>600</v>
      </c>
      <c r="H401" s="40">
        <f xml:space="preserve"> SUMIFS(Tabla2[CANTIDAD CARGADAS],Tabla2[CODIGO],Tabla2[[#This Row],[CODIGO]]) - SUMIFS(TABLA_CIERRES[CANTIDAD],TABLA_CIERRES[Codigo],Tabla2[[#This Row],[CODIGO]])</f>
        <v>5</v>
      </c>
      <c r="I401" s="44">
        <v>1400</v>
      </c>
      <c r="J401" s="45">
        <f>Tabla2[[#This Row],[CANTIDAD CARGADAS]]*Tabla2[[#This Row],[COSTOS]]</f>
        <v>3000</v>
      </c>
    </row>
    <row r="402" spans="1:10" x14ac:dyDescent="0.25">
      <c r="A402" s="39">
        <v>424</v>
      </c>
      <c r="B402" s="40">
        <v>682246907</v>
      </c>
      <c r="C402" s="41">
        <v>45109</v>
      </c>
      <c r="D402" s="40" t="s">
        <v>26</v>
      </c>
      <c r="E402" s="42" t="s">
        <v>434</v>
      </c>
      <c r="F402" s="42">
        <v>9</v>
      </c>
      <c r="G402" s="43">
        <v>400</v>
      </c>
      <c r="H402" s="40">
        <f xml:space="preserve"> SUMIFS(Tabla2[CANTIDAD CARGADAS],Tabla2[CODIGO],Tabla2[[#This Row],[CODIGO]]) - SUMIFS(TABLA_CIERRES[CANTIDAD],TABLA_CIERRES[Codigo],Tabla2[[#This Row],[CODIGO]])</f>
        <v>9</v>
      </c>
      <c r="I402" s="44">
        <v>1000</v>
      </c>
      <c r="J402" s="45">
        <f>Tabla2[[#This Row],[CANTIDAD CARGADAS]]*Tabla2[[#This Row],[COSTOS]]</f>
        <v>3600</v>
      </c>
    </row>
    <row r="403" spans="1:10" x14ac:dyDescent="0.25">
      <c r="A403" s="39">
        <v>425</v>
      </c>
      <c r="B403" s="40">
        <v>15287986</v>
      </c>
      <c r="C403" s="41">
        <v>45109</v>
      </c>
      <c r="D403" s="40" t="s">
        <v>26</v>
      </c>
      <c r="E403" s="42" t="s">
        <v>435</v>
      </c>
      <c r="F403" s="42">
        <v>4</v>
      </c>
      <c r="G403" s="43">
        <v>400</v>
      </c>
      <c r="H403" s="40">
        <f xml:space="preserve"> SUMIFS(Tabla2[CANTIDAD CARGADAS],Tabla2[CODIGO],Tabla2[[#This Row],[CODIGO]]) - SUMIFS(TABLA_CIERRES[CANTIDAD],TABLA_CIERRES[Codigo],Tabla2[[#This Row],[CODIGO]])</f>
        <v>4</v>
      </c>
      <c r="I403" s="44">
        <v>1000</v>
      </c>
      <c r="J403" s="45">
        <f>Tabla2[[#This Row],[CANTIDAD CARGADAS]]*Tabla2[[#This Row],[COSTOS]]</f>
        <v>1600</v>
      </c>
    </row>
    <row r="404" spans="1:10" x14ac:dyDescent="0.25">
      <c r="A404" s="39">
        <v>426</v>
      </c>
      <c r="B404" s="40">
        <v>727779864</v>
      </c>
      <c r="C404" s="41">
        <v>45109</v>
      </c>
      <c r="D404" s="40" t="s">
        <v>26</v>
      </c>
      <c r="E404" s="42" t="s">
        <v>436</v>
      </c>
      <c r="F404" s="42">
        <v>3</v>
      </c>
      <c r="G404" s="43">
        <v>400</v>
      </c>
      <c r="H404" s="40">
        <f xml:space="preserve"> SUMIFS(Tabla2[CANTIDAD CARGADAS],Tabla2[CODIGO],Tabla2[[#This Row],[CODIGO]]) - SUMIFS(TABLA_CIERRES[CANTIDAD],TABLA_CIERRES[Codigo],Tabla2[[#This Row],[CODIGO]])</f>
        <v>3</v>
      </c>
      <c r="I404" s="44">
        <v>1000</v>
      </c>
      <c r="J404" s="45">
        <f>Tabla2[[#This Row],[CANTIDAD CARGADAS]]*Tabla2[[#This Row],[COSTOS]]</f>
        <v>1200</v>
      </c>
    </row>
    <row r="405" spans="1:10" x14ac:dyDescent="0.25">
      <c r="A405" s="39">
        <v>427</v>
      </c>
      <c r="B405" s="40">
        <v>659890162</v>
      </c>
      <c r="C405" s="41">
        <v>45109</v>
      </c>
      <c r="D405" s="40" t="s">
        <v>26</v>
      </c>
      <c r="E405" s="42" t="s">
        <v>437</v>
      </c>
      <c r="F405" s="42">
        <v>12</v>
      </c>
      <c r="G405" s="43">
        <v>200</v>
      </c>
      <c r="H405" s="40">
        <f xml:space="preserve"> SUMIFS(Tabla2[CANTIDAD CARGADAS],Tabla2[CODIGO],Tabla2[[#This Row],[CODIGO]]) - SUMIFS(TABLA_CIERRES[CANTIDAD],TABLA_CIERRES[Codigo],Tabla2[[#This Row],[CODIGO]])</f>
        <v>12</v>
      </c>
      <c r="I405" s="44">
        <v>600</v>
      </c>
      <c r="J405" s="45">
        <f>Tabla2[[#This Row],[CANTIDAD CARGADAS]]*Tabla2[[#This Row],[COSTOS]]</f>
        <v>2400</v>
      </c>
    </row>
    <row r="406" spans="1:10" x14ac:dyDescent="0.25">
      <c r="A406" s="39">
        <v>428</v>
      </c>
      <c r="B406" s="40">
        <v>67442688</v>
      </c>
      <c r="C406" s="41">
        <v>45109</v>
      </c>
      <c r="D406" s="40" t="s">
        <v>26</v>
      </c>
      <c r="E406" s="42" t="s">
        <v>438</v>
      </c>
      <c r="F406" s="42">
        <v>2</v>
      </c>
      <c r="G406" s="43">
        <v>600</v>
      </c>
      <c r="H406" s="40">
        <f xml:space="preserve"> SUMIFS(Tabla2[CANTIDAD CARGADAS],Tabla2[CODIGO],Tabla2[[#This Row],[CODIGO]]) - SUMIFS(TABLA_CIERRES[CANTIDAD],TABLA_CIERRES[Codigo],Tabla2[[#This Row],[CODIGO]])</f>
        <v>2</v>
      </c>
      <c r="I406" s="44">
        <v>1400</v>
      </c>
      <c r="J406" s="45">
        <f>Tabla2[[#This Row],[CANTIDAD CARGADAS]]*Tabla2[[#This Row],[COSTOS]]</f>
        <v>1200</v>
      </c>
    </row>
    <row r="407" spans="1:10" x14ac:dyDescent="0.25">
      <c r="A407" s="39">
        <v>429</v>
      </c>
      <c r="B407" s="40">
        <v>941477667</v>
      </c>
      <c r="C407" s="41">
        <v>45109</v>
      </c>
      <c r="D407" s="40" t="s">
        <v>26</v>
      </c>
      <c r="E407" s="42" t="s">
        <v>439</v>
      </c>
      <c r="F407" s="42">
        <v>21</v>
      </c>
      <c r="G407" s="43">
        <v>400</v>
      </c>
      <c r="H407" s="40">
        <f xml:space="preserve"> SUMIFS(Tabla2[CANTIDAD CARGADAS],Tabla2[CODIGO],Tabla2[[#This Row],[CODIGO]]) - SUMIFS(TABLA_CIERRES[CANTIDAD],TABLA_CIERRES[Codigo],Tabla2[[#This Row],[CODIGO]])</f>
        <v>21</v>
      </c>
      <c r="I407" s="44">
        <v>1000</v>
      </c>
      <c r="J407" s="45">
        <f>Tabla2[[#This Row],[CANTIDAD CARGADAS]]*Tabla2[[#This Row],[COSTOS]]</f>
        <v>8400</v>
      </c>
    </row>
    <row r="408" spans="1:10" x14ac:dyDescent="0.25">
      <c r="A408" s="39">
        <v>430</v>
      </c>
      <c r="B408" s="40">
        <v>198420950</v>
      </c>
      <c r="C408" s="41">
        <v>45109</v>
      </c>
      <c r="D408" s="40" t="s">
        <v>26</v>
      </c>
      <c r="E408" s="42" t="s">
        <v>440</v>
      </c>
      <c r="F408" s="42">
        <v>5</v>
      </c>
      <c r="G408" s="43">
        <v>400</v>
      </c>
      <c r="H408" s="40">
        <f xml:space="preserve"> SUMIFS(Tabla2[CANTIDAD CARGADAS],Tabla2[CODIGO],Tabla2[[#This Row],[CODIGO]]) - SUMIFS(TABLA_CIERRES[CANTIDAD],TABLA_CIERRES[Codigo],Tabla2[[#This Row],[CODIGO]])</f>
        <v>5</v>
      </c>
      <c r="I408" s="44">
        <v>1000</v>
      </c>
      <c r="J408" s="45">
        <f>Tabla2[[#This Row],[CANTIDAD CARGADAS]]*Tabla2[[#This Row],[COSTOS]]</f>
        <v>2000</v>
      </c>
    </row>
    <row r="409" spans="1:10" x14ac:dyDescent="0.25">
      <c r="A409" s="39">
        <v>431</v>
      </c>
      <c r="B409" s="40">
        <v>829996583</v>
      </c>
      <c r="C409" s="41">
        <v>45109</v>
      </c>
      <c r="D409" s="40" t="s">
        <v>26</v>
      </c>
      <c r="E409" s="42" t="s">
        <v>441</v>
      </c>
      <c r="F409" s="42">
        <v>2</v>
      </c>
      <c r="G409" s="43">
        <v>400</v>
      </c>
      <c r="H409" s="40">
        <f xml:space="preserve"> SUMIFS(Tabla2[CANTIDAD CARGADAS],Tabla2[CODIGO],Tabla2[[#This Row],[CODIGO]]) - SUMIFS(TABLA_CIERRES[CANTIDAD],TABLA_CIERRES[Codigo],Tabla2[[#This Row],[CODIGO]])</f>
        <v>2</v>
      </c>
      <c r="I409" s="44">
        <v>1000</v>
      </c>
      <c r="J409" s="45">
        <f>Tabla2[[#This Row],[CANTIDAD CARGADAS]]*Tabla2[[#This Row],[COSTOS]]</f>
        <v>800</v>
      </c>
    </row>
    <row r="410" spans="1:10" x14ac:dyDescent="0.25">
      <c r="A410" s="39">
        <v>432</v>
      </c>
      <c r="B410" s="40">
        <v>159464564</v>
      </c>
      <c r="C410" s="41">
        <v>45109</v>
      </c>
      <c r="D410" s="40" t="s">
        <v>26</v>
      </c>
      <c r="E410" s="42" t="s">
        <v>442</v>
      </c>
      <c r="F410" s="42">
        <v>2</v>
      </c>
      <c r="G410" s="43">
        <v>400</v>
      </c>
      <c r="H410" s="40">
        <f xml:space="preserve"> SUMIFS(Tabla2[CANTIDAD CARGADAS],Tabla2[CODIGO],Tabla2[[#This Row],[CODIGO]]) - SUMIFS(TABLA_CIERRES[CANTIDAD],TABLA_CIERRES[Codigo],Tabla2[[#This Row],[CODIGO]])</f>
        <v>2</v>
      </c>
      <c r="I410" s="44">
        <v>1000</v>
      </c>
      <c r="J410" s="45">
        <f>Tabla2[[#This Row],[CANTIDAD CARGADAS]]*Tabla2[[#This Row],[COSTOS]]</f>
        <v>800</v>
      </c>
    </row>
    <row r="411" spans="1:10" x14ac:dyDescent="0.25">
      <c r="A411" s="39">
        <v>433</v>
      </c>
      <c r="B411" s="40">
        <v>46549114</v>
      </c>
      <c r="C411" s="41">
        <v>45109</v>
      </c>
      <c r="D411" s="40" t="s">
        <v>26</v>
      </c>
      <c r="E411" s="42" t="s">
        <v>443</v>
      </c>
      <c r="F411" s="42">
        <v>2</v>
      </c>
      <c r="G411" s="43">
        <v>400</v>
      </c>
      <c r="H411" s="40">
        <f xml:space="preserve"> SUMIFS(Tabla2[CANTIDAD CARGADAS],Tabla2[CODIGO],Tabla2[[#This Row],[CODIGO]]) - SUMIFS(TABLA_CIERRES[CANTIDAD],TABLA_CIERRES[Codigo],Tabla2[[#This Row],[CODIGO]])</f>
        <v>2</v>
      </c>
      <c r="I411" s="44">
        <v>1000</v>
      </c>
      <c r="J411" s="45">
        <f>Tabla2[[#This Row],[CANTIDAD CARGADAS]]*Tabla2[[#This Row],[COSTOS]]</f>
        <v>800</v>
      </c>
    </row>
    <row r="412" spans="1:10" x14ac:dyDescent="0.25">
      <c r="A412" s="39">
        <v>434</v>
      </c>
      <c r="B412" s="40">
        <v>303283075</v>
      </c>
      <c r="C412" s="41">
        <v>45109</v>
      </c>
      <c r="D412" s="40" t="s">
        <v>26</v>
      </c>
      <c r="E412" s="42" t="s">
        <v>444</v>
      </c>
      <c r="F412" s="42">
        <v>3</v>
      </c>
      <c r="G412" s="43">
        <v>400</v>
      </c>
      <c r="H412" s="40">
        <f xml:space="preserve"> SUMIFS(Tabla2[CANTIDAD CARGADAS],Tabla2[CODIGO],Tabla2[[#This Row],[CODIGO]]) - SUMIFS(TABLA_CIERRES[CANTIDAD],TABLA_CIERRES[Codigo],Tabla2[[#This Row],[CODIGO]])</f>
        <v>3</v>
      </c>
      <c r="I412" s="44">
        <v>1000</v>
      </c>
      <c r="J412" s="45">
        <f>Tabla2[[#This Row],[CANTIDAD CARGADAS]]*Tabla2[[#This Row],[COSTOS]]</f>
        <v>1200</v>
      </c>
    </row>
    <row r="413" spans="1:10" x14ac:dyDescent="0.25">
      <c r="A413" s="39">
        <v>435</v>
      </c>
      <c r="B413" s="40">
        <v>300663517</v>
      </c>
      <c r="C413" s="41">
        <v>45109</v>
      </c>
      <c r="D413" s="40" t="s">
        <v>26</v>
      </c>
      <c r="E413" s="42" t="s">
        <v>445</v>
      </c>
      <c r="F413" s="42">
        <v>1</v>
      </c>
      <c r="G413" s="43">
        <v>400</v>
      </c>
      <c r="H413" s="40">
        <f xml:space="preserve"> SUMIFS(Tabla2[CANTIDAD CARGADAS],Tabla2[CODIGO],Tabla2[[#This Row],[CODIGO]]) - SUMIFS(TABLA_CIERRES[CANTIDAD],TABLA_CIERRES[Codigo],Tabla2[[#This Row],[CODIGO]])</f>
        <v>1</v>
      </c>
      <c r="I413" s="44">
        <v>1000</v>
      </c>
      <c r="J413" s="45">
        <f>Tabla2[[#This Row],[CANTIDAD CARGADAS]]*Tabla2[[#This Row],[COSTOS]]</f>
        <v>400</v>
      </c>
    </row>
    <row r="414" spans="1:10" x14ac:dyDescent="0.25">
      <c r="A414" s="39">
        <v>436</v>
      </c>
      <c r="B414" s="40">
        <v>355459686</v>
      </c>
      <c r="C414" s="41">
        <v>45109</v>
      </c>
      <c r="D414" s="40" t="s">
        <v>26</v>
      </c>
      <c r="E414" s="42" t="s">
        <v>446</v>
      </c>
      <c r="F414" s="42">
        <v>1</v>
      </c>
      <c r="G414" s="43">
        <v>400</v>
      </c>
      <c r="H414" s="40">
        <f xml:space="preserve"> SUMIFS(Tabla2[CANTIDAD CARGADAS],Tabla2[CODIGO],Tabla2[[#This Row],[CODIGO]]) - SUMIFS(TABLA_CIERRES[CANTIDAD],TABLA_CIERRES[Codigo],Tabla2[[#This Row],[CODIGO]])</f>
        <v>1</v>
      </c>
      <c r="I414" s="44">
        <v>1000</v>
      </c>
      <c r="J414" s="45">
        <f>Tabla2[[#This Row],[CANTIDAD CARGADAS]]*Tabla2[[#This Row],[COSTOS]]</f>
        <v>400</v>
      </c>
    </row>
    <row r="415" spans="1:10" x14ac:dyDescent="0.25">
      <c r="A415" s="39">
        <v>437</v>
      </c>
      <c r="B415" s="40">
        <v>697393772</v>
      </c>
      <c r="C415" s="41">
        <v>45109</v>
      </c>
      <c r="D415" s="40" t="s">
        <v>26</v>
      </c>
      <c r="E415" s="42" t="s">
        <v>447</v>
      </c>
      <c r="F415" s="42">
        <v>1</v>
      </c>
      <c r="G415" s="43">
        <v>400</v>
      </c>
      <c r="H415" s="40">
        <f xml:space="preserve"> SUMIFS(Tabla2[CANTIDAD CARGADAS],Tabla2[CODIGO],Tabla2[[#This Row],[CODIGO]]) - SUMIFS(TABLA_CIERRES[CANTIDAD],TABLA_CIERRES[Codigo],Tabla2[[#This Row],[CODIGO]])</f>
        <v>1</v>
      </c>
      <c r="I415" s="44">
        <v>1000</v>
      </c>
      <c r="J415" s="45">
        <f>Tabla2[[#This Row],[CANTIDAD CARGADAS]]*Tabla2[[#This Row],[COSTOS]]</f>
        <v>400</v>
      </c>
    </row>
    <row r="416" spans="1:10" x14ac:dyDescent="0.25">
      <c r="A416" s="39">
        <v>438</v>
      </c>
      <c r="B416" s="40">
        <v>47274030</v>
      </c>
      <c r="C416" s="41">
        <v>45109</v>
      </c>
      <c r="D416" s="40" t="s">
        <v>172</v>
      </c>
      <c r="E416" s="42" t="s">
        <v>448</v>
      </c>
      <c r="F416" s="42">
        <v>5</v>
      </c>
      <c r="G416" s="43">
        <v>100</v>
      </c>
      <c r="H416" s="40">
        <f xml:space="preserve"> SUMIFS(Tabla2[CANTIDAD CARGADAS],Tabla2[CODIGO],Tabla2[[#This Row],[CODIGO]]) - SUMIFS(TABLA_CIERRES[CANTIDAD],TABLA_CIERRES[Codigo],Tabla2[[#This Row],[CODIGO]])</f>
        <v>5</v>
      </c>
      <c r="I416" s="44">
        <v>400</v>
      </c>
      <c r="J416" s="45">
        <f>Tabla2[[#This Row],[CANTIDAD CARGADAS]]*Tabla2[[#This Row],[COSTOS]]</f>
        <v>500</v>
      </c>
    </row>
    <row r="417" spans="1:10" x14ac:dyDescent="0.25">
      <c r="A417" s="39">
        <v>439</v>
      </c>
      <c r="B417" s="40">
        <v>518909236</v>
      </c>
      <c r="C417" s="41">
        <v>45109</v>
      </c>
      <c r="D417" s="40" t="s">
        <v>172</v>
      </c>
      <c r="E417" s="42" t="s">
        <v>449</v>
      </c>
      <c r="F417" s="42">
        <v>5</v>
      </c>
      <c r="G417" s="43">
        <v>100</v>
      </c>
      <c r="H417" s="40">
        <f xml:space="preserve"> SUMIFS(Tabla2[CANTIDAD CARGADAS],Tabla2[CODIGO],Tabla2[[#This Row],[CODIGO]]) - SUMIFS(TABLA_CIERRES[CANTIDAD],TABLA_CIERRES[Codigo],Tabla2[[#This Row],[CODIGO]])</f>
        <v>5</v>
      </c>
      <c r="I417" s="44">
        <v>400</v>
      </c>
      <c r="J417" s="45">
        <f>Tabla2[[#This Row],[CANTIDAD CARGADAS]]*Tabla2[[#This Row],[COSTOS]]</f>
        <v>500</v>
      </c>
    </row>
    <row r="418" spans="1:10" x14ac:dyDescent="0.25">
      <c r="A418" s="39">
        <v>440</v>
      </c>
      <c r="B418" s="40">
        <v>275789328</v>
      </c>
      <c r="C418" s="41">
        <v>45109</v>
      </c>
      <c r="D418" s="40" t="s">
        <v>172</v>
      </c>
      <c r="E418" s="42" t="s">
        <v>356</v>
      </c>
      <c r="F418" s="42">
        <v>5</v>
      </c>
      <c r="G418" s="43">
        <v>100</v>
      </c>
      <c r="H418" s="40">
        <f xml:space="preserve"> SUMIFS(Tabla2[CANTIDAD CARGADAS],Tabla2[CODIGO],Tabla2[[#This Row],[CODIGO]]) - SUMIFS(TABLA_CIERRES[CANTIDAD],TABLA_CIERRES[Codigo],Tabla2[[#This Row],[CODIGO]])</f>
        <v>5</v>
      </c>
      <c r="I418" s="44">
        <v>400</v>
      </c>
      <c r="J418" s="45">
        <f>Tabla2[[#This Row],[CANTIDAD CARGADAS]]*Tabla2[[#This Row],[COSTOS]]</f>
        <v>500</v>
      </c>
    </row>
    <row r="419" spans="1:10" x14ac:dyDescent="0.25">
      <c r="A419" s="39">
        <v>441</v>
      </c>
      <c r="B419" s="40">
        <v>137449579</v>
      </c>
      <c r="C419" s="41">
        <v>45109</v>
      </c>
      <c r="D419" s="40" t="s">
        <v>172</v>
      </c>
      <c r="E419" s="42" t="s">
        <v>450</v>
      </c>
      <c r="F419" s="42">
        <v>3</v>
      </c>
      <c r="G419" s="43">
        <v>100</v>
      </c>
      <c r="H419" s="40">
        <f xml:space="preserve"> SUMIFS(Tabla2[CANTIDAD CARGADAS],Tabla2[CODIGO],Tabla2[[#This Row],[CODIGO]]) - SUMIFS(TABLA_CIERRES[CANTIDAD],TABLA_CIERRES[Codigo],Tabla2[[#This Row],[CODIGO]])</f>
        <v>3</v>
      </c>
      <c r="I419" s="44">
        <v>400</v>
      </c>
      <c r="J419" s="45">
        <f>Tabla2[[#This Row],[CANTIDAD CARGADAS]]*Tabla2[[#This Row],[COSTOS]]</f>
        <v>300</v>
      </c>
    </row>
    <row r="420" spans="1:10" x14ac:dyDescent="0.25">
      <c r="A420" s="39">
        <v>442</v>
      </c>
      <c r="B420" s="40">
        <v>839808038</v>
      </c>
      <c r="C420" s="41">
        <v>45109</v>
      </c>
      <c r="D420" s="40" t="s">
        <v>172</v>
      </c>
      <c r="E420" s="42" t="s">
        <v>451</v>
      </c>
      <c r="F420" s="42">
        <v>2</v>
      </c>
      <c r="G420" s="43">
        <v>100</v>
      </c>
      <c r="H420" s="40">
        <f xml:space="preserve"> SUMIFS(Tabla2[CANTIDAD CARGADAS],Tabla2[CODIGO],Tabla2[[#This Row],[CODIGO]]) - SUMIFS(TABLA_CIERRES[CANTIDAD],TABLA_CIERRES[Codigo],Tabla2[[#This Row],[CODIGO]])</f>
        <v>2</v>
      </c>
      <c r="I420" s="44">
        <v>400</v>
      </c>
      <c r="J420" s="45">
        <f>Tabla2[[#This Row],[CANTIDAD CARGADAS]]*Tabla2[[#This Row],[COSTOS]]</f>
        <v>200</v>
      </c>
    </row>
    <row r="421" spans="1:10" x14ac:dyDescent="0.25">
      <c r="A421" s="39">
        <v>443</v>
      </c>
      <c r="B421" s="40">
        <v>383340712</v>
      </c>
      <c r="C421" s="41">
        <v>45109</v>
      </c>
      <c r="D421" s="40" t="s">
        <v>172</v>
      </c>
      <c r="E421" s="42" t="s">
        <v>452</v>
      </c>
      <c r="F421" s="42">
        <v>5</v>
      </c>
      <c r="G421" s="43">
        <v>100</v>
      </c>
      <c r="H421" s="40">
        <f xml:space="preserve"> SUMIFS(Tabla2[CANTIDAD CARGADAS],Tabla2[CODIGO],Tabla2[[#This Row],[CODIGO]]) - SUMIFS(TABLA_CIERRES[CANTIDAD],TABLA_CIERRES[Codigo],Tabla2[[#This Row],[CODIGO]])</f>
        <v>5</v>
      </c>
      <c r="I421" s="44">
        <v>400</v>
      </c>
      <c r="J421" s="45">
        <f>Tabla2[[#This Row],[CANTIDAD CARGADAS]]*Tabla2[[#This Row],[COSTOS]]</f>
        <v>500</v>
      </c>
    </row>
    <row r="422" spans="1:10" x14ac:dyDescent="0.25">
      <c r="A422" s="39">
        <v>444</v>
      </c>
      <c r="B422" s="40">
        <v>20487914</v>
      </c>
      <c r="C422" s="41">
        <v>45109</v>
      </c>
      <c r="D422" s="40" t="s">
        <v>172</v>
      </c>
      <c r="E422" s="42" t="s">
        <v>453</v>
      </c>
      <c r="F422" s="42">
        <v>6</v>
      </c>
      <c r="G422" s="43">
        <v>100</v>
      </c>
      <c r="H422" s="40">
        <f xml:space="preserve"> SUMIFS(Tabla2[CANTIDAD CARGADAS],Tabla2[CODIGO],Tabla2[[#This Row],[CODIGO]]) - SUMIFS(TABLA_CIERRES[CANTIDAD],TABLA_CIERRES[Codigo],Tabla2[[#This Row],[CODIGO]])</f>
        <v>6</v>
      </c>
      <c r="I422" s="44">
        <v>400</v>
      </c>
      <c r="J422" s="45">
        <f>Tabla2[[#This Row],[CANTIDAD CARGADAS]]*Tabla2[[#This Row],[COSTOS]]</f>
        <v>600</v>
      </c>
    </row>
    <row r="423" spans="1:10" x14ac:dyDescent="0.25">
      <c r="A423" s="39">
        <v>445</v>
      </c>
      <c r="B423" s="40">
        <v>374659862</v>
      </c>
      <c r="C423" s="41">
        <v>45109</v>
      </c>
      <c r="D423" s="40" t="s">
        <v>172</v>
      </c>
      <c r="E423" s="42" t="s">
        <v>454</v>
      </c>
      <c r="F423" s="42">
        <v>2</v>
      </c>
      <c r="G423" s="43">
        <v>100</v>
      </c>
      <c r="H423" s="40">
        <f xml:space="preserve"> SUMIFS(Tabla2[CANTIDAD CARGADAS],Tabla2[CODIGO],Tabla2[[#This Row],[CODIGO]]) - SUMIFS(TABLA_CIERRES[CANTIDAD],TABLA_CIERRES[Codigo],Tabla2[[#This Row],[CODIGO]])</f>
        <v>2</v>
      </c>
      <c r="I423" s="44">
        <v>400</v>
      </c>
      <c r="J423" s="45">
        <f>Tabla2[[#This Row],[CANTIDAD CARGADAS]]*Tabla2[[#This Row],[COSTOS]]</f>
        <v>200</v>
      </c>
    </row>
    <row r="424" spans="1:10" x14ac:dyDescent="0.25">
      <c r="A424" s="39">
        <v>446</v>
      </c>
      <c r="B424" s="40">
        <v>883048804</v>
      </c>
      <c r="C424" s="41">
        <v>45109</v>
      </c>
      <c r="D424" s="40" t="s">
        <v>172</v>
      </c>
      <c r="E424" s="42" t="s">
        <v>455</v>
      </c>
      <c r="F424" s="42">
        <v>25</v>
      </c>
      <c r="G424" s="43">
        <v>100</v>
      </c>
      <c r="H424" s="40">
        <f xml:space="preserve"> SUMIFS(Tabla2[CANTIDAD CARGADAS],Tabla2[CODIGO],Tabla2[[#This Row],[CODIGO]]) - SUMIFS(TABLA_CIERRES[CANTIDAD],TABLA_CIERRES[Codigo],Tabla2[[#This Row],[CODIGO]])</f>
        <v>25</v>
      </c>
      <c r="I424" s="44">
        <v>400</v>
      </c>
      <c r="J424" s="45">
        <f>Tabla2[[#This Row],[CANTIDAD CARGADAS]]*Tabla2[[#This Row],[COSTOS]]</f>
        <v>2500</v>
      </c>
    </row>
    <row r="425" spans="1:10" x14ac:dyDescent="0.25">
      <c r="A425" s="39">
        <v>447</v>
      </c>
      <c r="B425" s="40">
        <v>996181485</v>
      </c>
      <c r="C425" s="41">
        <v>45109</v>
      </c>
      <c r="D425" s="40" t="s">
        <v>172</v>
      </c>
      <c r="E425" s="42" t="s">
        <v>456</v>
      </c>
      <c r="F425" s="42">
        <v>34</v>
      </c>
      <c r="G425" s="43">
        <v>100</v>
      </c>
      <c r="H425" s="40">
        <f xml:space="preserve"> SUMIFS(Tabla2[CANTIDAD CARGADAS],Tabla2[CODIGO],Tabla2[[#This Row],[CODIGO]]) - SUMIFS(TABLA_CIERRES[CANTIDAD],TABLA_CIERRES[Codigo],Tabla2[[#This Row],[CODIGO]])</f>
        <v>34</v>
      </c>
      <c r="I425" s="44">
        <v>400</v>
      </c>
      <c r="J425" s="45">
        <f>Tabla2[[#This Row],[CANTIDAD CARGADAS]]*Tabla2[[#This Row],[COSTOS]]</f>
        <v>3400</v>
      </c>
    </row>
    <row r="426" spans="1:10" x14ac:dyDescent="0.25">
      <c r="A426" s="39">
        <v>448</v>
      </c>
      <c r="B426" s="40">
        <v>716264737</v>
      </c>
      <c r="C426" s="41">
        <v>45109</v>
      </c>
      <c r="D426" s="40" t="s">
        <v>172</v>
      </c>
      <c r="E426" s="42" t="s">
        <v>457</v>
      </c>
      <c r="F426" s="42">
        <v>6</v>
      </c>
      <c r="G426" s="43">
        <v>100</v>
      </c>
      <c r="H426" s="40">
        <f xml:space="preserve"> SUMIFS(Tabla2[CANTIDAD CARGADAS],Tabla2[CODIGO],Tabla2[[#This Row],[CODIGO]]) - SUMIFS(TABLA_CIERRES[CANTIDAD],TABLA_CIERRES[Codigo],Tabla2[[#This Row],[CODIGO]])</f>
        <v>6</v>
      </c>
      <c r="I426" s="44">
        <v>400</v>
      </c>
      <c r="J426" s="45">
        <f>Tabla2[[#This Row],[CANTIDAD CARGADAS]]*Tabla2[[#This Row],[COSTOS]]</f>
        <v>600</v>
      </c>
    </row>
    <row r="427" spans="1:10" x14ac:dyDescent="0.25">
      <c r="A427" s="39">
        <v>449</v>
      </c>
      <c r="B427" s="40">
        <v>844118949</v>
      </c>
      <c r="C427" s="41">
        <v>45109</v>
      </c>
      <c r="D427" s="40" t="s">
        <v>172</v>
      </c>
      <c r="E427" s="42" t="s">
        <v>458</v>
      </c>
      <c r="F427" s="42">
        <v>4</v>
      </c>
      <c r="G427" s="43">
        <v>100</v>
      </c>
      <c r="H427" s="40">
        <f xml:space="preserve"> SUMIFS(Tabla2[CANTIDAD CARGADAS],Tabla2[CODIGO],Tabla2[[#This Row],[CODIGO]]) - SUMIFS(TABLA_CIERRES[CANTIDAD],TABLA_CIERRES[Codigo],Tabla2[[#This Row],[CODIGO]])</f>
        <v>4</v>
      </c>
      <c r="I427" s="44">
        <v>400</v>
      </c>
      <c r="J427" s="45">
        <f>Tabla2[[#This Row],[CANTIDAD CARGADAS]]*Tabla2[[#This Row],[COSTOS]]</f>
        <v>400</v>
      </c>
    </row>
    <row r="428" spans="1:10" x14ac:dyDescent="0.25">
      <c r="A428" s="39">
        <v>450</v>
      </c>
      <c r="B428" s="40">
        <v>414439564</v>
      </c>
      <c r="C428" s="41">
        <v>45109</v>
      </c>
      <c r="D428" s="40" t="s">
        <v>172</v>
      </c>
      <c r="E428" s="42" t="s">
        <v>459</v>
      </c>
      <c r="F428" s="42">
        <v>11</v>
      </c>
      <c r="G428" s="43">
        <v>100</v>
      </c>
      <c r="H428" s="40">
        <f xml:space="preserve"> SUMIFS(Tabla2[CANTIDAD CARGADAS],Tabla2[CODIGO],Tabla2[[#This Row],[CODIGO]]) - SUMIFS(TABLA_CIERRES[CANTIDAD],TABLA_CIERRES[Codigo],Tabla2[[#This Row],[CODIGO]])</f>
        <v>11</v>
      </c>
      <c r="I428" s="44">
        <v>400</v>
      </c>
      <c r="J428" s="45">
        <f>Tabla2[[#This Row],[CANTIDAD CARGADAS]]*Tabla2[[#This Row],[COSTOS]]</f>
        <v>1100</v>
      </c>
    </row>
    <row r="429" spans="1:10" x14ac:dyDescent="0.25">
      <c r="A429" s="39">
        <v>451</v>
      </c>
      <c r="B429" s="40">
        <v>171471791</v>
      </c>
      <c r="C429" s="41">
        <v>45109</v>
      </c>
      <c r="D429" s="40" t="s">
        <v>172</v>
      </c>
      <c r="E429" s="42" t="s">
        <v>364</v>
      </c>
      <c r="F429" s="42">
        <v>3</v>
      </c>
      <c r="G429" s="43">
        <v>100</v>
      </c>
      <c r="H429" s="40">
        <f xml:space="preserve"> SUMIFS(Tabla2[CANTIDAD CARGADAS],Tabla2[CODIGO],Tabla2[[#This Row],[CODIGO]]) - SUMIFS(TABLA_CIERRES[CANTIDAD],TABLA_CIERRES[Codigo],Tabla2[[#This Row],[CODIGO]])</f>
        <v>3</v>
      </c>
      <c r="I429" s="44">
        <v>400</v>
      </c>
      <c r="J429" s="45">
        <f>Tabla2[[#This Row],[CANTIDAD CARGADAS]]*Tabla2[[#This Row],[COSTOS]]</f>
        <v>300</v>
      </c>
    </row>
    <row r="430" spans="1:10" x14ac:dyDescent="0.25">
      <c r="A430" s="39">
        <v>452</v>
      </c>
      <c r="B430" s="40">
        <v>133540649</v>
      </c>
      <c r="C430" s="41">
        <v>45109</v>
      </c>
      <c r="D430" s="40" t="s">
        <v>172</v>
      </c>
      <c r="E430" s="42" t="s">
        <v>460</v>
      </c>
      <c r="F430" s="42">
        <v>9</v>
      </c>
      <c r="G430" s="43">
        <v>100</v>
      </c>
      <c r="H430" s="40">
        <f xml:space="preserve"> SUMIFS(Tabla2[CANTIDAD CARGADAS],Tabla2[CODIGO],Tabla2[[#This Row],[CODIGO]]) - SUMIFS(TABLA_CIERRES[CANTIDAD],TABLA_CIERRES[Codigo],Tabla2[[#This Row],[CODIGO]])</f>
        <v>9</v>
      </c>
      <c r="I430" s="44">
        <v>400</v>
      </c>
      <c r="J430" s="45">
        <f>Tabla2[[#This Row],[CANTIDAD CARGADAS]]*Tabla2[[#This Row],[COSTOS]]</f>
        <v>900</v>
      </c>
    </row>
    <row r="431" spans="1:10" x14ac:dyDescent="0.25">
      <c r="A431" s="39">
        <v>453</v>
      </c>
      <c r="B431" s="40">
        <v>434922742</v>
      </c>
      <c r="C431" s="41">
        <v>45109</v>
      </c>
      <c r="D431" s="40" t="s">
        <v>172</v>
      </c>
      <c r="E431" s="42" t="s">
        <v>461</v>
      </c>
      <c r="F431" s="42">
        <v>2</v>
      </c>
      <c r="G431" s="43">
        <v>100</v>
      </c>
      <c r="H431" s="40">
        <f xml:space="preserve"> SUMIFS(Tabla2[CANTIDAD CARGADAS],Tabla2[CODIGO],Tabla2[[#This Row],[CODIGO]]) - SUMIFS(TABLA_CIERRES[CANTIDAD],TABLA_CIERRES[Codigo],Tabla2[[#This Row],[CODIGO]])</f>
        <v>2</v>
      </c>
      <c r="I431" s="44">
        <v>400</v>
      </c>
      <c r="J431" s="45">
        <f>Tabla2[[#This Row],[CANTIDAD CARGADAS]]*Tabla2[[#This Row],[COSTOS]]</f>
        <v>200</v>
      </c>
    </row>
    <row r="432" spans="1:10" x14ac:dyDescent="0.25">
      <c r="A432" s="39">
        <v>454</v>
      </c>
      <c r="B432" s="40">
        <v>436003539</v>
      </c>
      <c r="C432" s="41">
        <v>45109</v>
      </c>
      <c r="D432" s="40" t="s">
        <v>172</v>
      </c>
      <c r="E432" s="42" t="s">
        <v>462</v>
      </c>
      <c r="F432" s="42">
        <v>3</v>
      </c>
      <c r="G432" s="43">
        <v>100</v>
      </c>
      <c r="H432" s="40">
        <f xml:space="preserve"> SUMIFS(Tabla2[CANTIDAD CARGADAS],Tabla2[CODIGO],Tabla2[[#This Row],[CODIGO]]) - SUMIFS(TABLA_CIERRES[CANTIDAD],TABLA_CIERRES[Codigo],Tabla2[[#This Row],[CODIGO]])</f>
        <v>3</v>
      </c>
      <c r="I432" s="44">
        <v>400</v>
      </c>
      <c r="J432" s="45">
        <f>Tabla2[[#This Row],[CANTIDAD CARGADAS]]*Tabla2[[#This Row],[COSTOS]]</f>
        <v>300</v>
      </c>
    </row>
    <row r="433" spans="1:10" x14ac:dyDescent="0.25">
      <c r="A433" s="39">
        <v>455</v>
      </c>
      <c r="B433" s="40">
        <v>554180813</v>
      </c>
      <c r="C433" s="41">
        <v>45109</v>
      </c>
      <c r="D433" s="40" t="s">
        <v>172</v>
      </c>
      <c r="E433" s="42" t="s">
        <v>463</v>
      </c>
      <c r="F433" s="42">
        <v>2</v>
      </c>
      <c r="G433" s="43">
        <v>100</v>
      </c>
      <c r="H433" s="40">
        <f xml:space="preserve"> SUMIFS(Tabla2[CANTIDAD CARGADAS],Tabla2[CODIGO],Tabla2[[#This Row],[CODIGO]]) - SUMIFS(TABLA_CIERRES[CANTIDAD],TABLA_CIERRES[Codigo],Tabla2[[#This Row],[CODIGO]])</f>
        <v>2</v>
      </c>
      <c r="I433" s="44">
        <v>400</v>
      </c>
      <c r="J433" s="45">
        <f>Tabla2[[#This Row],[CANTIDAD CARGADAS]]*Tabla2[[#This Row],[COSTOS]]</f>
        <v>200</v>
      </c>
    </row>
    <row r="434" spans="1:10" x14ac:dyDescent="0.25">
      <c r="A434" s="39">
        <v>456</v>
      </c>
      <c r="B434" s="40">
        <v>153884776</v>
      </c>
      <c r="C434" s="41">
        <v>45109</v>
      </c>
      <c r="D434" s="40" t="s">
        <v>172</v>
      </c>
      <c r="E434" s="42" t="s">
        <v>464</v>
      </c>
      <c r="F434" s="42">
        <v>3</v>
      </c>
      <c r="G434" s="43">
        <v>100</v>
      </c>
      <c r="H434" s="40">
        <f xml:space="preserve"> SUMIFS(Tabla2[CANTIDAD CARGADAS],Tabla2[CODIGO],Tabla2[[#This Row],[CODIGO]]) - SUMIFS(TABLA_CIERRES[CANTIDAD],TABLA_CIERRES[Codigo],Tabla2[[#This Row],[CODIGO]])</f>
        <v>3</v>
      </c>
      <c r="I434" s="44">
        <v>400</v>
      </c>
      <c r="J434" s="45">
        <f>Tabla2[[#This Row],[CANTIDAD CARGADAS]]*Tabla2[[#This Row],[COSTOS]]</f>
        <v>300</v>
      </c>
    </row>
    <row r="435" spans="1:10" ht="14.25" customHeight="1" x14ac:dyDescent="0.25">
      <c r="A435" s="39">
        <v>457</v>
      </c>
      <c r="B435" s="40">
        <v>481288322</v>
      </c>
      <c r="C435" s="41">
        <v>45109</v>
      </c>
      <c r="D435" s="40" t="s">
        <v>172</v>
      </c>
      <c r="E435" s="42" t="s">
        <v>465</v>
      </c>
      <c r="F435" s="42">
        <v>2</v>
      </c>
      <c r="G435" s="43">
        <v>100</v>
      </c>
      <c r="H435" s="40">
        <f xml:space="preserve"> SUMIFS(Tabla2[CANTIDAD CARGADAS],Tabla2[CODIGO],Tabla2[[#This Row],[CODIGO]]) - SUMIFS(TABLA_CIERRES[CANTIDAD],TABLA_CIERRES[Codigo],Tabla2[[#This Row],[CODIGO]])</f>
        <v>2</v>
      </c>
      <c r="I435" s="44">
        <v>400</v>
      </c>
      <c r="J435" s="45">
        <f>Tabla2[[#This Row],[CANTIDAD CARGADAS]]*Tabla2[[#This Row],[COSTOS]]</f>
        <v>200</v>
      </c>
    </row>
    <row r="442" spans="1:10" ht="15.75" customHeight="1" x14ac:dyDescent="0.25">
      <c r="F442" s="14"/>
    </row>
    <row r="443" spans="1:10" ht="15.75" customHeight="1" x14ac:dyDescent="0.25"/>
    <row r="444" spans="1:10" ht="15.75" customHeight="1" x14ac:dyDescent="0.25"/>
    <row r="445" spans="1:10" ht="15.75" customHeight="1" x14ac:dyDescent="0.25"/>
    <row r="446" spans="1:10" ht="15.75" customHeight="1" x14ac:dyDescent="0.25"/>
    <row r="447" spans="1:10" ht="15.75" customHeight="1" x14ac:dyDescent="0.25"/>
    <row r="448" spans="1:10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</sheetData>
  <phoneticPr fontId="3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VENTAS">
    <tabColor rgb="FF00B050"/>
  </sheetPr>
  <dimension ref="A1:I23"/>
  <sheetViews>
    <sheetView zoomScale="87" zoomScaleNormal="87" workbookViewId="0">
      <pane ySplit="1" topLeftCell="A2" activePane="bottomLeft" state="frozen"/>
      <selection pane="bottomLeft" activeCell="B4" sqref="B4"/>
    </sheetView>
  </sheetViews>
  <sheetFormatPr baseColWidth="10" defaultRowHeight="15" x14ac:dyDescent="0.25"/>
  <cols>
    <col min="1" max="1" width="14.85546875" style="4" bestFit="1" customWidth="1"/>
    <col min="2" max="2" width="28.7109375" style="3" bestFit="1" customWidth="1"/>
    <col min="3" max="4" width="28.7109375" bestFit="1" customWidth="1"/>
    <col min="5" max="5" width="14.85546875" style="2" bestFit="1" customWidth="1"/>
    <col min="6" max="6" width="20.85546875" style="2" bestFit="1" customWidth="1"/>
    <col min="7" max="7" width="18.5703125" style="32" bestFit="1" customWidth="1"/>
    <col min="8" max="8" width="13.7109375" style="32" bestFit="1" customWidth="1"/>
    <col min="9" max="9" width="19.5703125" style="21" bestFit="1" customWidth="1"/>
  </cols>
  <sheetData>
    <row r="1" spans="1:9" x14ac:dyDescent="0.25">
      <c r="A1" s="1" t="s">
        <v>10</v>
      </c>
      <c r="B1" s="1" t="s">
        <v>11</v>
      </c>
      <c r="C1" t="s">
        <v>4</v>
      </c>
      <c r="D1" t="s">
        <v>12</v>
      </c>
      <c r="E1" s="2" t="s">
        <v>13</v>
      </c>
      <c r="F1" s="2" t="s">
        <v>14</v>
      </c>
      <c r="G1" s="32" t="s">
        <v>15</v>
      </c>
      <c r="H1" s="32" t="s">
        <v>16</v>
      </c>
      <c r="I1" s="21" t="s">
        <v>17</v>
      </c>
    </row>
    <row r="2" spans="1:9" x14ac:dyDescent="0.25">
      <c r="A2" s="19">
        <v>1</v>
      </c>
      <c r="B2" s="11">
        <v>44967</v>
      </c>
      <c r="C2" s="5">
        <v>713758876</v>
      </c>
      <c r="D2" s="5" t="s">
        <v>272</v>
      </c>
      <c r="E2" s="8">
        <v>1</v>
      </c>
      <c r="F2" s="20" t="s">
        <v>172</v>
      </c>
      <c r="G2" s="33">
        <v>400</v>
      </c>
      <c r="H2" s="33">
        <v>400</v>
      </c>
      <c r="I2" s="8" t="s">
        <v>18</v>
      </c>
    </row>
    <row r="3" spans="1:9" x14ac:dyDescent="0.25">
      <c r="A3" s="19">
        <v>2</v>
      </c>
      <c r="B3" s="11">
        <v>44967</v>
      </c>
      <c r="C3" s="5">
        <v>200260895</v>
      </c>
      <c r="D3" s="5" t="s">
        <v>471</v>
      </c>
      <c r="E3" s="8">
        <v>1</v>
      </c>
      <c r="F3" s="20" t="s">
        <v>26</v>
      </c>
      <c r="G3" s="33">
        <v>1400</v>
      </c>
      <c r="H3" s="33">
        <v>1400</v>
      </c>
      <c r="I3" s="8" t="s">
        <v>24</v>
      </c>
    </row>
    <row r="4" spans="1:9" x14ac:dyDescent="0.25">
      <c r="A4" s="19">
        <v>3</v>
      </c>
      <c r="B4" s="11">
        <v>44967</v>
      </c>
      <c r="C4" s="5">
        <v>682246906</v>
      </c>
      <c r="D4" s="5" t="s">
        <v>339</v>
      </c>
      <c r="E4" s="8">
        <v>1</v>
      </c>
      <c r="F4" s="20" t="s">
        <v>182</v>
      </c>
      <c r="G4" s="33">
        <v>2000</v>
      </c>
      <c r="H4" s="33">
        <v>2000</v>
      </c>
      <c r="I4" s="8" t="s">
        <v>18</v>
      </c>
    </row>
    <row r="5" spans="1:9" x14ac:dyDescent="0.25">
      <c r="A5" s="19">
        <v>4</v>
      </c>
      <c r="B5" s="11">
        <v>44967</v>
      </c>
      <c r="C5" s="5">
        <v>107822099</v>
      </c>
      <c r="D5" s="5" t="s">
        <v>185</v>
      </c>
      <c r="E5" s="8">
        <v>1</v>
      </c>
      <c r="F5" s="20" t="s">
        <v>182</v>
      </c>
      <c r="G5" s="33">
        <v>2000</v>
      </c>
      <c r="H5" s="33">
        <v>2000</v>
      </c>
      <c r="I5" s="8" t="s">
        <v>18</v>
      </c>
    </row>
    <row r="6" spans="1:9" x14ac:dyDescent="0.25">
      <c r="A6" s="19">
        <v>5</v>
      </c>
      <c r="B6" s="11">
        <v>44967</v>
      </c>
      <c r="C6" s="5">
        <v>171471790</v>
      </c>
      <c r="D6" s="5" t="s">
        <v>277</v>
      </c>
      <c r="E6" s="8">
        <v>1</v>
      </c>
      <c r="F6" s="20" t="s">
        <v>172</v>
      </c>
      <c r="G6" s="33">
        <v>400</v>
      </c>
      <c r="H6" s="33">
        <v>400</v>
      </c>
      <c r="I6" s="8" t="s">
        <v>18</v>
      </c>
    </row>
    <row r="7" spans="1:9" x14ac:dyDescent="0.25">
      <c r="A7" s="19">
        <v>6</v>
      </c>
      <c r="B7" s="11">
        <v>44967</v>
      </c>
      <c r="C7" s="5">
        <v>107822099</v>
      </c>
      <c r="D7" s="5" t="s">
        <v>185</v>
      </c>
      <c r="E7" s="8">
        <v>1</v>
      </c>
      <c r="F7" s="20" t="s">
        <v>182</v>
      </c>
      <c r="G7" s="33">
        <v>2000</v>
      </c>
      <c r="H7" s="33">
        <v>2000</v>
      </c>
      <c r="I7" s="8" t="s">
        <v>18</v>
      </c>
    </row>
    <row r="8" spans="1:9" x14ac:dyDescent="0.25">
      <c r="A8" s="19">
        <v>7</v>
      </c>
      <c r="B8" s="11">
        <v>44967</v>
      </c>
      <c r="C8" s="5">
        <v>133540647</v>
      </c>
      <c r="D8" s="5" t="s">
        <v>197</v>
      </c>
      <c r="E8" s="8">
        <v>1</v>
      </c>
      <c r="F8" s="20" t="s">
        <v>188</v>
      </c>
      <c r="G8" s="33">
        <v>900</v>
      </c>
      <c r="H8" s="33">
        <v>900</v>
      </c>
      <c r="I8" s="8" t="s">
        <v>18</v>
      </c>
    </row>
    <row r="9" spans="1:9" x14ac:dyDescent="0.25">
      <c r="A9" s="19">
        <v>8</v>
      </c>
      <c r="B9" s="11">
        <v>44967</v>
      </c>
      <c r="C9" s="5">
        <v>86459921</v>
      </c>
      <c r="D9" s="5" t="s">
        <v>276</v>
      </c>
      <c r="E9" s="8">
        <v>1</v>
      </c>
      <c r="F9" s="20" t="s">
        <v>172</v>
      </c>
      <c r="G9" s="33">
        <v>400</v>
      </c>
      <c r="H9" s="33">
        <v>400</v>
      </c>
      <c r="I9" s="8" t="s">
        <v>18</v>
      </c>
    </row>
    <row r="10" spans="1:9" x14ac:dyDescent="0.25">
      <c r="A10" s="19">
        <v>9</v>
      </c>
      <c r="B10" s="11">
        <v>44967</v>
      </c>
      <c r="C10" s="5">
        <v>554180811</v>
      </c>
      <c r="D10" s="5" t="s">
        <v>147</v>
      </c>
      <c r="E10" s="8">
        <v>1</v>
      </c>
      <c r="F10" s="20" t="s">
        <v>26</v>
      </c>
      <c r="G10" s="33">
        <v>600</v>
      </c>
      <c r="H10" s="33">
        <v>600</v>
      </c>
      <c r="I10" s="8" t="s">
        <v>18</v>
      </c>
    </row>
    <row r="11" spans="1:9" x14ac:dyDescent="0.25">
      <c r="A11" s="19">
        <v>10</v>
      </c>
      <c r="B11" s="11">
        <v>44967</v>
      </c>
      <c r="C11" s="5">
        <v>722483455</v>
      </c>
      <c r="D11" s="5" t="s">
        <v>158</v>
      </c>
      <c r="E11" s="8">
        <v>1</v>
      </c>
      <c r="F11" s="20" t="s">
        <v>26</v>
      </c>
      <c r="G11" s="33">
        <v>1000</v>
      </c>
      <c r="H11" s="33">
        <v>1000</v>
      </c>
      <c r="I11" s="8" t="s">
        <v>18</v>
      </c>
    </row>
    <row r="12" spans="1:9" x14ac:dyDescent="0.25">
      <c r="A12" s="19">
        <v>11</v>
      </c>
      <c r="B12" s="11">
        <v>44967</v>
      </c>
      <c r="C12" s="5">
        <v>137019705</v>
      </c>
      <c r="D12" s="5" t="s">
        <v>61</v>
      </c>
      <c r="E12" s="8">
        <v>1</v>
      </c>
      <c r="F12" s="20" t="s">
        <v>26</v>
      </c>
      <c r="G12" s="33">
        <v>1000</v>
      </c>
      <c r="H12" s="33">
        <v>1000</v>
      </c>
      <c r="I12" s="8" t="s">
        <v>18</v>
      </c>
    </row>
    <row r="13" spans="1:9" x14ac:dyDescent="0.25">
      <c r="A13" s="19">
        <v>12</v>
      </c>
      <c r="B13" s="11">
        <v>44967</v>
      </c>
      <c r="C13" s="5">
        <v>722483455</v>
      </c>
      <c r="D13" s="5" t="s">
        <v>158</v>
      </c>
      <c r="E13" s="8">
        <v>1</v>
      </c>
      <c r="F13" s="20" t="s">
        <v>26</v>
      </c>
      <c r="G13" s="33">
        <v>1000</v>
      </c>
      <c r="H13" s="33">
        <v>1000</v>
      </c>
      <c r="I13" s="8" t="s">
        <v>18</v>
      </c>
    </row>
    <row r="14" spans="1:9" x14ac:dyDescent="0.25">
      <c r="A14" s="19">
        <v>13</v>
      </c>
      <c r="B14" s="11">
        <v>44967</v>
      </c>
      <c r="C14" s="5">
        <v>713758876</v>
      </c>
      <c r="D14" s="5" t="s">
        <v>272</v>
      </c>
      <c r="E14" s="8">
        <v>1</v>
      </c>
      <c r="F14" s="20" t="s">
        <v>172</v>
      </c>
      <c r="G14" s="33">
        <v>400</v>
      </c>
      <c r="H14" s="33">
        <v>400</v>
      </c>
      <c r="I14" s="8" t="s">
        <v>18</v>
      </c>
    </row>
    <row r="15" spans="1:9" x14ac:dyDescent="0.25">
      <c r="A15" s="19">
        <v>14</v>
      </c>
      <c r="B15" s="11">
        <v>44967</v>
      </c>
      <c r="C15" s="5">
        <v>86459921</v>
      </c>
      <c r="D15" s="5" t="s">
        <v>276</v>
      </c>
      <c r="E15" s="8">
        <v>1</v>
      </c>
      <c r="F15" s="20" t="s">
        <v>172</v>
      </c>
      <c r="G15" s="33">
        <v>400</v>
      </c>
      <c r="H15" s="33">
        <v>400</v>
      </c>
      <c r="I15" s="8" t="s">
        <v>18</v>
      </c>
    </row>
    <row r="16" spans="1:9" x14ac:dyDescent="0.25">
      <c r="A16" s="19">
        <v>15</v>
      </c>
      <c r="B16" s="11">
        <v>44968</v>
      </c>
      <c r="C16" s="5">
        <v>659890160</v>
      </c>
      <c r="D16" s="5" t="s">
        <v>316</v>
      </c>
      <c r="E16" s="8">
        <v>1</v>
      </c>
      <c r="F16" s="20" t="s">
        <v>26</v>
      </c>
      <c r="G16" s="33">
        <v>1000</v>
      </c>
      <c r="H16" s="33">
        <v>1000</v>
      </c>
      <c r="I16" s="8" t="s">
        <v>18</v>
      </c>
    </row>
    <row r="17" spans="1:9" x14ac:dyDescent="0.25">
      <c r="A17" s="19">
        <v>16</v>
      </c>
      <c r="B17" s="11">
        <v>44968</v>
      </c>
      <c r="C17" s="5">
        <v>682246906</v>
      </c>
      <c r="D17" s="5" t="s">
        <v>339</v>
      </c>
      <c r="E17" s="8">
        <v>1</v>
      </c>
      <c r="F17" s="20" t="s">
        <v>182</v>
      </c>
      <c r="G17" s="33">
        <v>2000</v>
      </c>
      <c r="H17" s="33">
        <v>2000</v>
      </c>
      <c r="I17" s="8" t="s">
        <v>18</v>
      </c>
    </row>
    <row r="18" spans="1:9" x14ac:dyDescent="0.25">
      <c r="A18" s="19">
        <v>17</v>
      </c>
      <c r="B18" s="11">
        <v>44968</v>
      </c>
      <c r="C18" s="5">
        <v>107822099</v>
      </c>
      <c r="D18" s="5" t="s">
        <v>185</v>
      </c>
      <c r="E18" s="8">
        <v>1</v>
      </c>
      <c r="F18" s="20" t="s">
        <v>182</v>
      </c>
      <c r="G18" s="33">
        <v>2000</v>
      </c>
      <c r="H18" s="33">
        <v>2000</v>
      </c>
      <c r="I18" s="8" t="s">
        <v>23</v>
      </c>
    </row>
    <row r="19" spans="1:9" x14ac:dyDescent="0.25">
      <c r="A19" s="19">
        <v>18</v>
      </c>
      <c r="B19" s="11">
        <v>44968</v>
      </c>
      <c r="C19" s="5">
        <v>107822099</v>
      </c>
      <c r="D19" s="5" t="s">
        <v>185</v>
      </c>
      <c r="E19" s="8">
        <v>1</v>
      </c>
      <c r="F19" s="20" t="s">
        <v>182</v>
      </c>
      <c r="G19" s="33">
        <v>2000</v>
      </c>
      <c r="H19" s="33">
        <v>2000</v>
      </c>
      <c r="I19" s="8" t="s">
        <v>18</v>
      </c>
    </row>
    <row r="20" spans="1:9" x14ac:dyDescent="0.25">
      <c r="A20" s="19">
        <v>19</v>
      </c>
      <c r="B20" s="11">
        <v>44968</v>
      </c>
      <c r="C20" s="5">
        <v>848817032</v>
      </c>
      <c r="D20" s="5" t="s">
        <v>282</v>
      </c>
      <c r="E20" s="8">
        <v>1</v>
      </c>
      <c r="F20" s="20" t="s">
        <v>172</v>
      </c>
      <c r="G20" s="33">
        <v>400</v>
      </c>
      <c r="H20" s="33">
        <v>400</v>
      </c>
      <c r="I20" s="8" t="s">
        <v>18</v>
      </c>
    </row>
    <row r="21" spans="1:9" x14ac:dyDescent="0.25">
      <c r="A21" s="19">
        <v>20</v>
      </c>
      <c r="B21" s="11">
        <v>44968</v>
      </c>
      <c r="C21" s="5">
        <v>171471789</v>
      </c>
      <c r="D21" s="5" t="s">
        <v>190</v>
      </c>
      <c r="E21" s="8">
        <v>1</v>
      </c>
      <c r="F21" s="20" t="s">
        <v>182</v>
      </c>
      <c r="G21" s="33">
        <v>900</v>
      </c>
      <c r="H21" s="33">
        <v>900</v>
      </c>
      <c r="I21" s="8" t="s">
        <v>18</v>
      </c>
    </row>
    <row r="22" spans="1:9" x14ac:dyDescent="0.25">
      <c r="A22" s="19">
        <v>21</v>
      </c>
      <c r="B22" s="11">
        <v>44968</v>
      </c>
      <c r="C22" s="5">
        <v>840623079</v>
      </c>
      <c r="D22" s="5" t="s">
        <v>317</v>
      </c>
      <c r="E22" s="8">
        <v>1</v>
      </c>
      <c r="F22" s="20" t="s">
        <v>188</v>
      </c>
      <c r="G22" s="33">
        <v>700</v>
      </c>
      <c r="H22" s="33">
        <v>700</v>
      </c>
      <c r="I22" s="8" t="s">
        <v>18</v>
      </c>
    </row>
    <row r="23" spans="1:9" x14ac:dyDescent="0.25">
      <c r="A23" s="19">
        <v>22</v>
      </c>
      <c r="B23" s="11">
        <v>44968</v>
      </c>
      <c r="C23" s="5">
        <v>713758876</v>
      </c>
      <c r="D23" s="5" t="s">
        <v>272</v>
      </c>
      <c r="E23" s="8">
        <v>1</v>
      </c>
      <c r="F23" s="20" t="s">
        <v>172</v>
      </c>
      <c r="G23" s="33">
        <v>400</v>
      </c>
      <c r="H23" s="33">
        <v>400</v>
      </c>
      <c r="I23" s="8" t="s">
        <v>18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IERRES">
    <tabColor rgb="FF002060"/>
  </sheetPr>
  <dimension ref="A1:K127"/>
  <sheetViews>
    <sheetView tabSelected="1" zoomScale="98" zoomScaleNormal="98" workbookViewId="0">
      <selection activeCell="D9" sqref="D9"/>
    </sheetView>
  </sheetViews>
  <sheetFormatPr baseColWidth="10" defaultRowHeight="15" x14ac:dyDescent="0.25"/>
  <cols>
    <col min="1" max="1" width="7.5703125" bestFit="1" customWidth="1"/>
    <col min="2" max="2" width="13.7109375" style="22" customWidth="1"/>
    <col min="3" max="3" width="12" customWidth="1"/>
    <col min="4" max="4" width="41.7109375" customWidth="1"/>
    <col min="5" max="5" width="12" customWidth="1"/>
    <col min="6" max="6" width="13.5703125" bestFit="1" customWidth="1"/>
    <col min="7" max="7" width="19.140625" style="32" bestFit="1" customWidth="1"/>
    <col min="8" max="8" width="15.5703125" style="32" bestFit="1" customWidth="1"/>
    <col min="9" max="9" width="18.5703125" bestFit="1" customWidth="1"/>
    <col min="11" max="11" width="19.28515625" customWidth="1"/>
  </cols>
  <sheetData>
    <row r="1" spans="1:11" x14ac:dyDescent="0.25">
      <c r="A1" t="s">
        <v>10</v>
      </c>
      <c r="B1" s="22" t="s">
        <v>11</v>
      </c>
      <c r="C1" t="s">
        <v>4</v>
      </c>
      <c r="D1" t="s">
        <v>0</v>
      </c>
      <c r="E1" t="s">
        <v>3</v>
      </c>
      <c r="F1" t="s">
        <v>5</v>
      </c>
      <c r="G1" s="32" t="s">
        <v>21</v>
      </c>
      <c r="H1" s="32" t="s">
        <v>19</v>
      </c>
      <c r="I1" t="s">
        <v>20</v>
      </c>
      <c r="K1" s="9"/>
    </row>
    <row r="2" spans="1:11" x14ac:dyDescent="0.25">
      <c r="A2" s="5">
        <v>1</v>
      </c>
      <c r="B2" s="23">
        <v>44958</v>
      </c>
      <c r="C2" s="5">
        <v>118309194</v>
      </c>
      <c r="D2" s="5" t="s">
        <v>230</v>
      </c>
      <c r="E2" s="5">
        <v>1</v>
      </c>
      <c r="F2" s="5" t="s">
        <v>172</v>
      </c>
      <c r="G2" s="33">
        <v>400</v>
      </c>
      <c r="H2" s="33">
        <v>400</v>
      </c>
      <c r="I2" s="7" t="s">
        <v>18</v>
      </c>
    </row>
    <row r="3" spans="1:11" x14ac:dyDescent="0.25">
      <c r="A3" s="5">
        <v>2</v>
      </c>
      <c r="B3" s="23">
        <v>44958</v>
      </c>
      <c r="C3" s="5">
        <v>25755622</v>
      </c>
      <c r="D3" s="5" t="s">
        <v>231</v>
      </c>
      <c r="E3" s="5">
        <v>1</v>
      </c>
      <c r="F3" s="5" t="s">
        <v>26</v>
      </c>
      <c r="G3" s="33">
        <v>1000</v>
      </c>
      <c r="H3" s="33">
        <v>1000</v>
      </c>
      <c r="I3" s="7" t="s">
        <v>18</v>
      </c>
    </row>
    <row r="4" spans="1:11" x14ac:dyDescent="0.25">
      <c r="A4" s="5">
        <v>3</v>
      </c>
      <c r="B4" s="23">
        <v>44958</v>
      </c>
      <c r="C4" s="5">
        <v>581080793</v>
      </c>
      <c r="D4" s="5" t="s">
        <v>194</v>
      </c>
      <c r="E4" s="5">
        <v>1</v>
      </c>
      <c r="F4" s="5" t="s">
        <v>182</v>
      </c>
      <c r="G4" s="33">
        <v>1200</v>
      </c>
      <c r="H4" s="33">
        <v>1200</v>
      </c>
      <c r="I4" s="7" t="s">
        <v>18</v>
      </c>
    </row>
    <row r="5" spans="1:11" x14ac:dyDescent="0.25">
      <c r="A5" s="5">
        <v>4</v>
      </c>
      <c r="B5" s="23">
        <v>44958</v>
      </c>
      <c r="C5" s="5">
        <v>739935611</v>
      </c>
      <c r="D5" s="5" t="s">
        <v>252</v>
      </c>
      <c r="E5" s="5">
        <v>1</v>
      </c>
      <c r="F5" s="5" t="s">
        <v>26</v>
      </c>
      <c r="G5" s="33">
        <v>1000</v>
      </c>
      <c r="H5" s="33">
        <v>1000</v>
      </c>
      <c r="I5" s="7" t="s">
        <v>18</v>
      </c>
    </row>
    <row r="6" spans="1:11" x14ac:dyDescent="0.25">
      <c r="A6" s="5">
        <v>5</v>
      </c>
      <c r="B6" s="23">
        <v>44928</v>
      </c>
      <c r="C6" s="5">
        <v>426428617</v>
      </c>
      <c r="D6" s="5" t="s">
        <v>128</v>
      </c>
      <c r="E6" s="5">
        <v>1</v>
      </c>
      <c r="F6" s="5" t="s">
        <v>26</v>
      </c>
      <c r="G6" s="33">
        <v>1000</v>
      </c>
      <c r="H6" s="33">
        <v>1000</v>
      </c>
      <c r="I6" s="7" t="s">
        <v>23</v>
      </c>
    </row>
    <row r="7" spans="1:11" x14ac:dyDescent="0.25">
      <c r="A7" s="5">
        <v>6</v>
      </c>
      <c r="B7" s="23">
        <v>44958</v>
      </c>
      <c r="C7" s="5">
        <v>414439563</v>
      </c>
      <c r="D7" s="5" t="s">
        <v>180</v>
      </c>
      <c r="E7" s="5">
        <v>1</v>
      </c>
      <c r="F7" s="5" t="s">
        <v>172</v>
      </c>
      <c r="G7" s="33">
        <v>400</v>
      </c>
      <c r="H7" s="33">
        <v>400</v>
      </c>
      <c r="I7" s="7" t="s">
        <v>18</v>
      </c>
    </row>
    <row r="8" spans="1:11" x14ac:dyDescent="0.25">
      <c r="A8" s="5">
        <v>7</v>
      </c>
      <c r="B8" s="23">
        <v>44958</v>
      </c>
      <c r="C8" s="5">
        <v>512752774</v>
      </c>
      <c r="D8" s="5" t="s">
        <v>472</v>
      </c>
      <c r="E8" s="5">
        <v>1</v>
      </c>
      <c r="F8" s="5" t="s">
        <v>26</v>
      </c>
      <c r="G8" s="33">
        <v>1000</v>
      </c>
      <c r="H8" s="33">
        <v>1000</v>
      </c>
      <c r="I8" s="7" t="s">
        <v>18</v>
      </c>
    </row>
    <row r="9" spans="1:11" x14ac:dyDescent="0.25">
      <c r="A9" s="5">
        <v>8</v>
      </c>
      <c r="B9" s="23">
        <v>44958</v>
      </c>
      <c r="C9" s="5">
        <v>866100055</v>
      </c>
      <c r="D9" s="5" t="s">
        <v>258</v>
      </c>
      <c r="E9" s="5">
        <v>1</v>
      </c>
      <c r="F9" s="5" t="s">
        <v>172</v>
      </c>
      <c r="G9" s="33">
        <v>400</v>
      </c>
      <c r="H9" s="33">
        <v>400</v>
      </c>
      <c r="I9" s="7" t="s">
        <v>18</v>
      </c>
    </row>
    <row r="10" spans="1:11" x14ac:dyDescent="0.25">
      <c r="A10" s="5">
        <v>9</v>
      </c>
      <c r="B10" s="23">
        <v>44958</v>
      </c>
      <c r="C10" s="5">
        <v>20487912</v>
      </c>
      <c r="D10" s="5" t="s">
        <v>203</v>
      </c>
      <c r="E10" s="5">
        <v>2</v>
      </c>
      <c r="F10" s="5" t="s">
        <v>202</v>
      </c>
      <c r="G10" s="33">
        <v>500</v>
      </c>
      <c r="H10" s="33">
        <v>1000</v>
      </c>
      <c r="I10" s="7" t="s">
        <v>18</v>
      </c>
    </row>
    <row r="11" spans="1:11" x14ac:dyDescent="0.25">
      <c r="A11" s="5">
        <v>10</v>
      </c>
      <c r="B11" s="23">
        <v>44928</v>
      </c>
      <c r="C11" s="5">
        <v>386010829</v>
      </c>
      <c r="D11" s="5" t="s">
        <v>271</v>
      </c>
      <c r="E11" s="5">
        <v>1</v>
      </c>
      <c r="F11" s="5" t="s">
        <v>26</v>
      </c>
      <c r="G11" s="33">
        <v>1000</v>
      </c>
      <c r="H11" s="33">
        <v>1000</v>
      </c>
      <c r="I11" s="7" t="s">
        <v>18</v>
      </c>
    </row>
    <row r="12" spans="1:11" x14ac:dyDescent="0.25">
      <c r="A12" s="5">
        <v>11</v>
      </c>
      <c r="B12" s="23">
        <v>44928</v>
      </c>
      <c r="C12" s="5">
        <v>436003537</v>
      </c>
      <c r="D12" s="5" t="s">
        <v>198</v>
      </c>
      <c r="E12" s="5">
        <v>1</v>
      </c>
      <c r="F12" s="5" t="s">
        <v>188</v>
      </c>
      <c r="G12" s="33">
        <v>1200</v>
      </c>
      <c r="H12" s="33">
        <v>1200</v>
      </c>
      <c r="I12" s="7" t="s">
        <v>23</v>
      </c>
    </row>
    <row r="13" spans="1:11" x14ac:dyDescent="0.25">
      <c r="A13" s="5">
        <v>12</v>
      </c>
      <c r="B13" s="23">
        <v>44928</v>
      </c>
      <c r="C13" s="5">
        <v>444260505</v>
      </c>
      <c r="D13" s="5" t="s">
        <v>133</v>
      </c>
      <c r="E13" s="5">
        <v>1</v>
      </c>
      <c r="F13" s="5" t="s">
        <v>26</v>
      </c>
      <c r="G13" s="33">
        <v>1000</v>
      </c>
      <c r="H13" s="33">
        <v>1000</v>
      </c>
      <c r="I13" s="7" t="s">
        <v>18</v>
      </c>
    </row>
    <row r="14" spans="1:11" x14ac:dyDescent="0.25">
      <c r="A14" s="5">
        <v>13</v>
      </c>
      <c r="B14" s="23">
        <v>44958</v>
      </c>
      <c r="C14" s="5">
        <v>238104446</v>
      </c>
      <c r="D14" s="5" t="s">
        <v>215</v>
      </c>
      <c r="E14" s="5">
        <v>1</v>
      </c>
      <c r="F14" s="5" t="s">
        <v>210</v>
      </c>
      <c r="G14" s="33">
        <v>4000</v>
      </c>
      <c r="H14" s="33">
        <v>4000</v>
      </c>
      <c r="I14" s="7" t="s">
        <v>23</v>
      </c>
    </row>
    <row r="15" spans="1:11" x14ac:dyDescent="0.25">
      <c r="A15" s="5">
        <v>14</v>
      </c>
      <c r="B15" s="23">
        <v>44958</v>
      </c>
      <c r="C15" s="5">
        <v>713758876</v>
      </c>
      <c r="D15" s="5" t="s">
        <v>272</v>
      </c>
      <c r="E15" s="5">
        <v>3</v>
      </c>
      <c r="F15" s="5" t="s">
        <v>172</v>
      </c>
      <c r="G15" s="33">
        <v>400</v>
      </c>
      <c r="H15" s="33">
        <v>1200</v>
      </c>
      <c r="I15" s="7" t="s">
        <v>23</v>
      </c>
    </row>
    <row r="16" spans="1:11" x14ac:dyDescent="0.25">
      <c r="A16" s="5">
        <v>1</v>
      </c>
      <c r="B16" s="23">
        <v>44959</v>
      </c>
      <c r="C16" s="5">
        <v>990286544</v>
      </c>
      <c r="D16" s="5" t="s">
        <v>273</v>
      </c>
      <c r="E16" s="5">
        <v>1</v>
      </c>
      <c r="F16" s="5" t="s">
        <v>188</v>
      </c>
      <c r="G16" s="33">
        <v>900</v>
      </c>
      <c r="H16" s="33">
        <v>900</v>
      </c>
      <c r="I16" s="7" t="s">
        <v>18</v>
      </c>
    </row>
    <row r="17" spans="1:9" x14ac:dyDescent="0.25">
      <c r="A17" s="5">
        <v>2</v>
      </c>
      <c r="B17" s="23">
        <v>44959</v>
      </c>
      <c r="C17" s="5">
        <v>848817031</v>
      </c>
      <c r="D17" s="5" t="s">
        <v>156</v>
      </c>
      <c r="E17" s="5">
        <v>1</v>
      </c>
      <c r="F17" s="5" t="s">
        <v>26</v>
      </c>
      <c r="G17" s="33">
        <v>1000</v>
      </c>
      <c r="H17" s="33">
        <v>1000</v>
      </c>
      <c r="I17" s="7" t="s">
        <v>18</v>
      </c>
    </row>
    <row r="18" spans="1:9" x14ac:dyDescent="0.25">
      <c r="A18" s="5">
        <v>3</v>
      </c>
      <c r="B18" s="23">
        <v>44959</v>
      </c>
      <c r="C18" s="5">
        <v>713758876</v>
      </c>
      <c r="D18" s="5" t="s">
        <v>272</v>
      </c>
      <c r="E18" s="5">
        <v>1</v>
      </c>
      <c r="F18" s="5" t="s">
        <v>172</v>
      </c>
      <c r="G18" s="33">
        <v>400</v>
      </c>
      <c r="H18" s="33">
        <v>400</v>
      </c>
      <c r="I18" s="7" t="s">
        <v>18</v>
      </c>
    </row>
    <row r="19" spans="1:9" x14ac:dyDescent="0.25">
      <c r="A19" s="5">
        <v>4</v>
      </c>
      <c r="B19" s="23">
        <v>44959</v>
      </c>
      <c r="C19" s="5">
        <v>660998800</v>
      </c>
      <c r="D19" s="5" t="s">
        <v>196</v>
      </c>
      <c r="E19" s="5">
        <v>1</v>
      </c>
      <c r="F19" s="5" t="s">
        <v>188</v>
      </c>
      <c r="G19" s="33">
        <v>700</v>
      </c>
      <c r="H19" s="33">
        <v>700</v>
      </c>
      <c r="I19" s="7" t="s">
        <v>18</v>
      </c>
    </row>
    <row r="20" spans="1:9" x14ac:dyDescent="0.25">
      <c r="A20" s="5">
        <v>5</v>
      </c>
      <c r="B20" s="23">
        <v>44959</v>
      </c>
      <c r="C20" s="5">
        <v>171340858</v>
      </c>
      <c r="D20" s="5" t="s">
        <v>274</v>
      </c>
      <c r="E20" s="5">
        <v>1</v>
      </c>
      <c r="F20" s="5" t="s">
        <v>172</v>
      </c>
      <c r="G20" s="33">
        <v>400</v>
      </c>
      <c r="H20" s="33">
        <v>400</v>
      </c>
      <c r="I20" s="7" t="s">
        <v>18</v>
      </c>
    </row>
    <row r="21" spans="1:9" x14ac:dyDescent="0.25">
      <c r="A21" s="5">
        <v>6</v>
      </c>
      <c r="B21" s="23">
        <v>44959</v>
      </c>
      <c r="C21" s="5">
        <v>171340858</v>
      </c>
      <c r="D21" s="5" t="s">
        <v>274</v>
      </c>
      <c r="E21" s="5">
        <v>1</v>
      </c>
      <c r="F21" s="5" t="s">
        <v>172</v>
      </c>
      <c r="G21" s="33">
        <v>400</v>
      </c>
      <c r="H21" s="33">
        <v>400</v>
      </c>
      <c r="I21" s="7" t="s">
        <v>18</v>
      </c>
    </row>
    <row r="22" spans="1:9" x14ac:dyDescent="0.25">
      <c r="A22" s="5">
        <v>7</v>
      </c>
      <c r="B22" s="23">
        <v>44959</v>
      </c>
      <c r="C22" s="5">
        <v>181205847</v>
      </c>
      <c r="D22" s="5" t="s">
        <v>92</v>
      </c>
      <c r="E22" s="5">
        <v>1</v>
      </c>
      <c r="F22" s="5" t="s">
        <v>26</v>
      </c>
      <c r="G22" s="33">
        <v>1000</v>
      </c>
      <c r="H22" s="33">
        <v>1000</v>
      </c>
      <c r="I22" s="7" t="s">
        <v>18</v>
      </c>
    </row>
    <row r="23" spans="1:9" x14ac:dyDescent="0.25">
      <c r="A23" s="5">
        <v>8</v>
      </c>
      <c r="B23" s="23">
        <v>44959</v>
      </c>
      <c r="C23" s="5">
        <v>660998800</v>
      </c>
      <c r="D23" s="5" t="s">
        <v>196</v>
      </c>
      <c r="E23" s="5">
        <v>1</v>
      </c>
      <c r="F23" s="5" t="s">
        <v>188</v>
      </c>
      <c r="G23" s="33">
        <v>700</v>
      </c>
      <c r="H23" s="33">
        <v>700</v>
      </c>
      <c r="I23" s="7" t="s">
        <v>18</v>
      </c>
    </row>
    <row r="24" spans="1:9" x14ac:dyDescent="0.25">
      <c r="A24" s="5">
        <v>9</v>
      </c>
      <c r="B24" s="23">
        <v>44959</v>
      </c>
      <c r="C24" s="5">
        <v>717861777</v>
      </c>
      <c r="D24" s="5" t="s">
        <v>283</v>
      </c>
      <c r="E24" s="5">
        <v>1</v>
      </c>
      <c r="F24" s="5" t="s">
        <v>26</v>
      </c>
      <c r="G24" s="33">
        <v>1000</v>
      </c>
      <c r="H24" s="33">
        <v>1000</v>
      </c>
      <c r="I24" s="7" t="s">
        <v>18</v>
      </c>
    </row>
    <row r="25" spans="1:9" x14ac:dyDescent="0.25">
      <c r="A25" s="5">
        <v>10</v>
      </c>
      <c r="B25" s="23">
        <v>44959</v>
      </c>
      <c r="C25" s="5">
        <v>848817032</v>
      </c>
      <c r="D25" s="5" t="s">
        <v>282</v>
      </c>
      <c r="E25" s="5">
        <v>1</v>
      </c>
      <c r="F25" s="5" t="s">
        <v>172</v>
      </c>
      <c r="G25" s="33">
        <v>400</v>
      </c>
      <c r="H25" s="33">
        <v>400</v>
      </c>
      <c r="I25" s="7" t="s">
        <v>18</v>
      </c>
    </row>
    <row r="26" spans="1:9" x14ac:dyDescent="0.25">
      <c r="A26" s="5">
        <v>11</v>
      </c>
      <c r="B26" s="23">
        <v>44959</v>
      </c>
      <c r="C26" s="5">
        <v>571937686</v>
      </c>
      <c r="D26" s="5" t="s">
        <v>257</v>
      </c>
      <c r="E26" s="5">
        <v>1</v>
      </c>
      <c r="F26" s="5" t="s">
        <v>26</v>
      </c>
      <c r="G26" s="33">
        <v>1000</v>
      </c>
      <c r="H26" s="33">
        <v>1000</v>
      </c>
      <c r="I26" s="7" t="s">
        <v>18</v>
      </c>
    </row>
    <row r="27" spans="1:9" x14ac:dyDescent="0.25">
      <c r="A27" s="5">
        <v>1</v>
      </c>
      <c r="B27" s="23">
        <v>44960</v>
      </c>
      <c r="C27" s="5">
        <v>713758876</v>
      </c>
      <c r="D27" s="5" t="s">
        <v>272</v>
      </c>
      <c r="E27" s="5">
        <v>3</v>
      </c>
      <c r="F27" s="5" t="s">
        <v>172</v>
      </c>
      <c r="G27" s="33">
        <v>400</v>
      </c>
      <c r="H27" s="33">
        <v>1200</v>
      </c>
      <c r="I27" s="7" t="s">
        <v>18</v>
      </c>
    </row>
    <row r="28" spans="1:9" x14ac:dyDescent="0.25">
      <c r="A28" s="5">
        <v>2</v>
      </c>
      <c r="B28" s="23">
        <v>44960</v>
      </c>
      <c r="C28" s="5">
        <v>86459921</v>
      </c>
      <c r="D28" s="5" t="s">
        <v>276</v>
      </c>
      <c r="E28" s="5">
        <v>2</v>
      </c>
      <c r="F28" s="5" t="s">
        <v>172</v>
      </c>
      <c r="G28" s="33">
        <v>400</v>
      </c>
      <c r="H28" s="33">
        <v>800</v>
      </c>
      <c r="I28" s="7" t="s">
        <v>18</v>
      </c>
    </row>
    <row r="29" spans="1:9" x14ac:dyDescent="0.25">
      <c r="A29" s="5">
        <v>3</v>
      </c>
      <c r="B29" s="23">
        <v>44960</v>
      </c>
      <c r="C29" s="5">
        <v>171340858</v>
      </c>
      <c r="D29" s="5" t="s">
        <v>274</v>
      </c>
      <c r="E29" s="5">
        <v>1</v>
      </c>
      <c r="F29" s="5" t="s">
        <v>172</v>
      </c>
      <c r="G29" s="33">
        <v>400</v>
      </c>
      <c r="H29" s="33">
        <v>400</v>
      </c>
      <c r="I29" s="7" t="s">
        <v>18</v>
      </c>
    </row>
    <row r="30" spans="1:9" x14ac:dyDescent="0.25">
      <c r="A30" s="5">
        <v>4</v>
      </c>
      <c r="B30" s="23">
        <v>44960</v>
      </c>
      <c r="C30" s="5">
        <v>17729613</v>
      </c>
      <c r="D30" s="5" t="s">
        <v>165</v>
      </c>
      <c r="E30" s="5">
        <v>1</v>
      </c>
      <c r="F30" s="5" t="s">
        <v>26</v>
      </c>
      <c r="G30" s="33">
        <v>1000</v>
      </c>
      <c r="H30" s="33">
        <v>1000</v>
      </c>
      <c r="I30" s="7" t="s">
        <v>18</v>
      </c>
    </row>
    <row r="31" spans="1:9" x14ac:dyDescent="0.25">
      <c r="A31" s="5">
        <v>5</v>
      </c>
      <c r="B31" s="23">
        <v>44960</v>
      </c>
      <c r="C31" s="5">
        <v>713758876</v>
      </c>
      <c r="D31" s="5" t="s">
        <v>272</v>
      </c>
      <c r="E31" s="5">
        <v>1</v>
      </c>
      <c r="F31" s="5" t="s">
        <v>172</v>
      </c>
      <c r="G31" s="33">
        <v>400</v>
      </c>
      <c r="H31" s="33">
        <v>400</v>
      </c>
      <c r="I31" s="7" t="s">
        <v>18</v>
      </c>
    </row>
    <row r="32" spans="1:9" x14ac:dyDescent="0.25">
      <c r="A32" s="5">
        <v>6</v>
      </c>
      <c r="B32" s="23">
        <v>44960</v>
      </c>
      <c r="C32" s="5">
        <v>896426105</v>
      </c>
      <c r="D32" s="5" t="s">
        <v>304</v>
      </c>
      <c r="E32" s="5">
        <v>1</v>
      </c>
      <c r="F32" s="5" t="s">
        <v>26</v>
      </c>
      <c r="G32" s="33">
        <v>1000</v>
      </c>
      <c r="H32" s="33">
        <v>1000</v>
      </c>
      <c r="I32" s="7" t="s">
        <v>18</v>
      </c>
    </row>
    <row r="33" spans="1:9" x14ac:dyDescent="0.25">
      <c r="A33" s="5">
        <v>7</v>
      </c>
      <c r="B33" s="23">
        <v>44960</v>
      </c>
      <c r="C33" s="5">
        <v>389489993</v>
      </c>
      <c r="D33" s="5" t="s">
        <v>113</v>
      </c>
      <c r="E33" s="5">
        <v>1</v>
      </c>
      <c r="F33" s="5" t="s">
        <v>26</v>
      </c>
      <c r="G33" s="33">
        <v>1000</v>
      </c>
      <c r="H33" s="33">
        <v>1000</v>
      </c>
      <c r="I33" s="7" t="s">
        <v>18</v>
      </c>
    </row>
    <row r="34" spans="1:9" x14ac:dyDescent="0.25">
      <c r="A34" s="5">
        <v>8</v>
      </c>
      <c r="B34" s="23">
        <v>44960</v>
      </c>
      <c r="C34" s="5">
        <v>713758876</v>
      </c>
      <c r="D34" s="5" t="s">
        <v>272</v>
      </c>
      <c r="E34" s="5">
        <v>1</v>
      </c>
      <c r="F34" s="5" t="s">
        <v>172</v>
      </c>
      <c r="G34" s="33">
        <v>400</v>
      </c>
      <c r="H34" s="33">
        <v>400</v>
      </c>
      <c r="I34" s="7" t="s">
        <v>18</v>
      </c>
    </row>
    <row r="35" spans="1:9" x14ac:dyDescent="0.25">
      <c r="A35" s="5">
        <v>9</v>
      </c>
      <c r="B35" s="23">
        <v>44960</v>
      </c>
      <c r="C35" s="5">
        <v>255526788</v>
      </c>
      <c r="D35" s="5" t="s">
        <v>309</v>
      </c>
      <c r="E35" s="5">
        <v>1</v>
      </c>
      <c r="F35" s="5" t="s">
        <v>26</v>
      </c>
      <c r="G35" s="33">
        <v>1000</v>
      </c>
      <c r="H35" s="33">
        <v>1000</v>
      </c>
      <c r="I35" s="7" t="s">
        <v>18</v>
      </c>
    </row>
    <row r="36" spans="1:9" x14ac:dyDescent="0.25">
      <c r="A36" s="5">
        <v>10</v>
      </c>
      <c r="B36" s="23">
        <v>44960</v>
      </c>
      <c r="C36" s="5">
        <v>171340858</v>
      </c>
      <c r="D36" s="5" t="s">
        <v>274</v>
      </c>
      <c r="E36" s="5">
        <v>1</v>
      </c>
      <c r="F36" s="5" t="s">
        <v>172</v>
      </c>
      <c r="G36" s="33">
        <v>400</v>
      </c>
      <c r="H36" s="33">
        <v>400</v>
      </c>
      <c r="I36" s="7" t="s">
        <v>18</v>
      </c>
    </row>
    <row r="37" spans="1:9" x14ac:dyDescent="0.25">
      <c r="A37" s="5">
        <v>11</v>
      </c>
      <c r="B37" s="23">
        <v>44960</v>
      </c>
      <c r="C37" s="5">
        <v>848817032</v>
      </c>
      <c r="D37" s="5" t="s">
        <v>282</v>
      </c>
      <c r="E37" s="5">
        <v>1</v>
      </c>
      <c r="F37" s="5" t="s">
        <v>172</v>
      </c>
      <c r="G37" s="33">
        <v>400</v>
      </c>
      <c r="H37" s="33">
        <v>400</v>
      </c>
      <c r="I37" s="7" t="s">
        <v>18</v>
      </c>
    </row>
    <row r="38" spans="1:9" x14ac:dyDescent="0.25">
      <c r="A38" s="5">
        <v>12</v>
      </c>
      <c r="B38" s="23">
        <v>44960</v>
      </c>
      <c r="C38" s="5">
        <v>86459922</v>
      </c>
      <c r="D38" s="5" t="s">
        <v>278</v>
      </c>
      <c r="E38" s="5">
        <v>1</v>
      </c>
      <c r="F38" s="5" t="s">
        <v>172</v>
      </c>
      <c r="G38" s="33">
        <v>400</v>
      </c>
      <c r="H38" s="33">
        <v>400</v>
      </c>
      <c r="I38" s="7" t="s">
        <v>18</v>
      </c>
    </row>
    <row r="39" spans="1:9" x14ac:dyDescent="0.25">
      <c r="A39" s="5">
        <v>13</v>
      </c>
      <c r="B39" s="23">
        <v>44960</v>
      </c>
      <c r="C39" s="5">
        <v>137449578</v>
      </c>
      <c r="D39" s="5" t="s">
        <v>207</v>
      </c>
      <c r="E39" s="5">
        <v>1</v>
      </c>
      <c r="F39" s="5" t="s">
        <v>210</v>
      </c>
      <c r="G39" s="33">
        <v>700</v>
      </c>
      <c r="H39" s="33">
        <v>700</v>
      </c>
      <c r="I39" s="7" t="s">
        <v>18</v>
      </c>
    </row>
    <row r="40" spans="1:9" x14ac:dyDescent="0.25">
      <c r="A40" s="5">
        <v>14</v>
      </c>
      <c r="B40" s="23">
        <v>44960</v>
      </c>
      <c r="C40" s="5">
        <v>20487913</v>
      </c>
      <c r="D40" s="5" t="s">
        <v>216</v>
      </c>
      <c r="E40" s="5">
        <v>1</v>
      </c>
      <c r="F40" s="5" t="s">
        <v>210</v>
      </c>
      <c r="G40" s="33">
        <v>4000</v>
      </c>
      <c r="H40" s="33">
        <v>4000</v>
      </c>
      <c r="I40" s="7" t="s">
        <v>18</v>
      </c>
    </row>
    <row r="41" spans="1:9" x14ac:dyDescent="0.25">
      <c r="A41" s="5">
        <v>15</v>
      </c>
      <c r="B41" s="23">
        <v>44960</v>
      </c>
      <c r="C41" s="5">
        <v>107822099</v>
      </c>
      <c r="D41" s="5" t="s">
        <v>185</v>
      </c>
      <c r="E41" s="5">
        <v>1</v>
      </c>
      <c r="F41" s="5" t="s">
        <v>182</v>
      </c>
      <c r="G41" s="33">
        <v>1800</v>
      </c>
      <c r="H41" s="33">
        <v>1800</v>
      </c>
      <c r="I41" s="7" t="s">
        <v>18</v>
      </c>
    </row>
    <row r="42" spans="1:9" x14ac:dyDescent="0.25">
      <c r="A42" s="5">
        <v>16</v>
      </c>
      <c r="B42" s="23">
        <v>44960</v>
      </c>
      <c r="C42" s="5">
        <v>713758876</v>
      </c>
      <c r="D42" s="5" t="s">
        <v>272</v>
      </c>
      <c r="E42" s="5">
        <v>1</v>
      </c>
      <c r="F42" s="5" t="s">
        <v>172</v>
      </c>
      <c r="G42" s="33">
        <v>400</v>
      </c>
      <c r="H42" s="33">
        <v>400</v>
      </c>
      <c r="I42" s="7" t="s">
        <v>18</v>
      </c>
    </row>
    <row r="43" spans="1:9" x14ac:dyDescent="0.25">
      <c r="A43" s="5">
        <v>17</v>
      </c>
      <c r="B43" s="23">
        <v>44960</v>
      </c>
      <c r="C43" s="5">
        <v>879624235</v>
      </c>
      <c r="D43" s="5" t="s">
        <v>127</v>
      </c>
      <c r="E43" s="5">
        <v>1</v>
      </c>
      <c r="F43" s="5" t="s">
        <v>26</v>
      </c>
      <c r="G43" s="33">
        <v>1000</v>
      </c>
      <c r="H43" s="33">
        <v>1000</v>
      </c>
      <c r="I43" s="7" t="s">
        <v>18</v>
      </c>
    </row>
    <row r="44" spans="1:9" x14ac:dyDescent="0.25">
      <c r="A44" s="5">
        <v>18</v>
      </c>
      <c r="B44" s="23">
        <v>44960</v>
      </c>
      <c r="C44" s="5">
        <v>107822099</v>
      </c>
      <c r="D44" s="5" t="s">
        <v>185</v>
      </c>
      <c r="E44" s="5">
        <v>1</v>
      </c>
      <c r="F44" s="5" t="s">
        <v>182</v>
      </c>
      <c r="G44" s="33">
        <v>2000</v>
      </c>
      <c r="H44" s="33">
        <v>2000</v>
      </c>
      <c r="I44" s="7" t="s">
        <v>18</v>
      </c>
    </row>
    <row r="45" spans="1:9" x14ac:dyDescent="0.25">
      <c r="A45" s="5">
        <v>19</v>
      </c>
      <c r="B45" s="23">
        <v>44960</v>
      </c>
      <c r="C45" s="5">
        <v>269600458</v>
      </c>
      <c r="D45" s="5" t="s">
        <v>193</v>
      </c>
      <c r="E45" s="5">
        <v>1</v>
      </c>
      <c r="F45" s="5" t="s">
        <v>182</v>
      </c>
      <c r="G45" s="33">
        <v>1400</v>
      </c>
      <c r="H45" s="33">
        <v>1400</v>
      </c>
      <c r="I45" s="7" t="s">
        <v>18</v>
      </c>
    </row>
    <row r="46" spans="1:9" x14ac:dyDescent="0.25">
      <c r="A46" s="5">
        <v>20</v>
      </c>
      <c r="B46" s="23">
        <v>44960</v>
      </c>
      <c r="C46" s="5">
        <v>955450661</v>
      </c>
      <c r="D46" s="5" t="s">
        <v>324</v>
      </c>
      <c r="E46" s="5">
        <v>1</v>
      </c>
      <c r="F46" s="5" t="s">
        <v>26</v>
      </c>
      <c r="G46" s="33">
        <v>1000</v>
      </c>
      <c r="H46" s="33">
        <v>1000</v>
      </c>
      <c r="I46" s="7" t="s">
        <v>18</v>
      </c>
    </row>
    <row r="47" spans="1:9" x14ac:dyDescent="0.25">
      <c r="A47" s="5">
        <v>21</v>
      </c>
      <c r="B47" s="23">
        <v>44960</v>
      </c>
      <c r="C47" s="5">
        <v>713758876</v>
      </c>
      <c r="D47" s="5" t="s">
        <v>272</v>
      </c>
      <c r="E47" s="5">
        <v>1</v>
      </c>
      <c r="F47" s="5" t="s">
        <v>172</v>
      </c>
      <c r="G47" s="33">
        <v>400</v>
      </c>
      <c r="H47" s="33">
        <v>400</v>
      </c>
      <c r="I47" s="7" t="s">
        <v>23</v>
      </c>
    </row>
    <row r="48" spans="1:9" x14ac:dyDescent="0.25">
      <c r="A48" s="5">
        <v>22</v>
      </c>
      <c r="B48" s="23">
        <v>44960</v>
      </c>
      <c r="C48" s="5">
        <v>436003538</v>
      </c>
      <c r="D48" s="5" t="s">
        <v>157</v>
      </c>
      <c r="E48" s="5">
        <v>1</v>
      </c>
      <c r="F48" s="5" t="s">
        <v>26</v>
      </c>
      <c r="G48" s="33">
        <v>1400</v>
      </c>
      <c r="H48" s="33">
        <v>1400</v>
      </c>
      <c r="I48" s="7" t="s">
        <v>23</v>
      </c>
    </row>
    <row r="49" spans="1:9" x14ac:dyDescent="0.25">
      <c r="A49" s="5">
        <v>23</v>
      </c>
      <c r="B49" s="23">
        <v>44960</v>
      </c>
      <c r="C49" s="5">
        <v>713758876</v>
      </c>
      <c r="D49" s="5" t="s">
        <v>272</v>
      </c>
      <c r="E49" s="5">
        <v>1</v>
      </c>
      <c r="F49" s="5" t="s">
        <v>172</v>
      </c>
      <c r="G49" s="33">
        <v>400</v>
      </c>
      <c r="H49" s="33">
        <v>400</v>
      </c>
      <c r="I49" s="7" t="s">
        <v>23</v>
      </c>
    </row>
    <row r="50" spans="1:9" x14ac:dyDescent="0.25">
      <c r="A50" s="5">
        <v>24</v>
      </c>
      <c r="B50" s="23">
        <v>44960</v>
      </c>
      <c r="C50" s="5">
        <v>386010829</v>
      </c>
      <c r="D50" s="5" t="s">
        <v>271</v>
      </c>
      <c r="E50" s="5">
        <v>1</v>
      </c>
      <c r="F50" s="5" t="s">
        <v>26</v>
      </c>
      <c r="G50" s="33">
        <v>1000</v>
      </c>
      <c r="H50" s="33">
        <v>1000</v>
      </c>
      <c r="I50" s="7" t="s">
        <v>23</v>
      </c>
    </row>
    <row r="51" spans="1:9" x14ac:dyDescent="0.25">
      <c r="A51" s="5">
        <v>25</v>
      </c>
      <c r="B51" s="23">
        <v>44960</v>
      </c>
      <c r="C51" s="5">
        <v>848817032</v>
      </c>
      <c r="D51" s="5" t="s">
        <v>282</v>
      </c>
      <c r="E51" s="5">
        <v>1</v>
      </c>
      <c r="F51" s="5" t="s">
        <v>172</v>
      </c>
      <c r="G51" s="33">
        <v>400</v>
      </c>
      <c r="H51" s="33">
        <v>400</v>
      </c>
      <c r="I51" s="7" t="s">
        <v>24</v>
      </c>
    </row>
    <row r="52" spans="1:9" x14ac:dyDescent="0.25">
      <c r="A52" s="5">
        <v>26</v>
      </c>
      <c r="B52" s="23">
        <v>44960</v>
      </c>
      <c r="C52" s="5">
        <v>355087917</v>
      </c>
      <c r="D52" s="5" t="s">
        <v>178</v>
      </c>
      <c r="E52" s="5">
        <v>1</v>
      </c>
      <c r="F52" s="5" t="s">
        <v>172</v>
      </c>
      <c r="G52" s="33">
        <v>400</v>
      </c>
      <c r="H52" s="33">
        <v>400</v>
      </c>
      <c r="I52" s="7" t="s">
        <v>18</v>
      </c>
    </row>
    <row r="53" spans="1:9" x14ac:dyDescent="0.25">
      <c r="A53" s="5">
        <v>27</v>
      </c>
      <c r="B53" s="23">
        <v>44960</v>
      </c>
      <c r="C53" s="5">
        <v>660998800</v>
      </c>
      <c r="D53" s="5" t="s">
        <v>196</v>
      </c>
      <c r="E53" s="5">
        <v>1</v>
      </c>
      <c r="F53" s="5" t="s">
        <v>188</v>
      </c>
      <c r="G53" s="33">
        <v>700</v>
      </c>
      <c r="H53" s="33">
        <v>700</v>
      </c>
      <c r="I53" s="7" t="s">
        <v>18</v>
      </c>
    </row>
    <row r="54" spans="1:9" x14ac:dyDescent="0.25">
      <c r="A54" s="5">
        <v>28</v>
      </c>
      <c r="B54" s="23">
        <v>44960</v>
      </c>
      <c r="C54" s="5">
        <v>866100056</v>
      </c>
      <c r="D54" s="5" t="s">
        <v>281</v>
      </c>
      <c r="E54" s="5">
        <v>1</v>
      </c>
      <c r="F54" s="5" t="s">
        <v>172</v>
      </c>
      <c r="G54" s="33">
        <v>400</v>
      </c>
      <c r="H54" s="33">
        <v>400</v>
      </c>
      <c r="I54" s="7" t="s">
        <v>18</v>
      </c>
    </row>
    <row r="55" spans="1:9" x14ac:dyDescent="0.25">
      <c r="A55" s="5">
        <v>29</v>
      </c>
      <c r="B55" s="23">
        <v>44960</v>
      </c>
      <c r="C55" s="5">
        <v>990286544</v>
      </c>
      <c r="D55" s="5" t="s">
        <v>273</v>
      </c>
      <c r="E55" s="5">
        <v>1</v>
      </c>
      <c r="F55" s="5" t="s">
        <v>188</v>
      </c>
      <c r="G55" s="33">
        <v>900</v>
      </c>
      <c r="H55" s="33">
        <v>900</v>
      </c>
      <c r="I55" s="7" t="s">
        <v>18</v>
      </c>
    </row>
    <row r="56" spans="1:9" x14ac:dyDescent="0.25">
      <c r="A56" s="5">
        <v>30</v>
      </c>
      <c r="B56" s="23">
        <v>44960</v>
      </c>
      <c r="C56" s="5">
        <v>357534850</v>
      </c>
      <c r="D56" s="5" t="s">
        <v>234</v>
      </c>
      <c r="E56" s="5">
        <v>1</v>
      </c>
      <c r="F56" s="5" t="s">
        <v>182</v>
      </c>
      <c r="G56" s="33">
        <v>800</v>
      </c>
      <c r="H56" s="33">
        <v>800</v>
      </c>
      <c r="I56" s="7" t="s">
        <v>18</v>
      </c>
    </row>
    <row r="57" spans="1:9" x14ac:dyDescent="0.25">
      <c r="A57" s="5">
        <v>31</v>
      </c>
      <c r="B57" s="23">
        <v>44960</v>
      </c>
      <c r="C57" s="5">
        <v>171340858</v>
      </c>
      <c r="D57" s="5" t="s">
        <v>274</v>
      </c>
      <c r="E57" s="5">
        <v>1</v>
      </c>
      <c r="F57" s="5" t="s">
        <v>172</v>
      </c>
      <c r="G57" s="33">
        <v>400</v>
      </c>
      <c r="H57" s="33">
        <v>400</v>
      </c>
      <c r="I57" s="7" t="s">
        <v>18</v>
      </c>
    </row>
    <row r="58" spans="1:9" x14ac:dyDescent="0.25">
      <c r="A58" s="5">
        <v>32</v>
      </c>
      <c r="B58" s="23">
        <v>44960</v>
      </c>
      <c r="C58" s="5">
        <v>694427908</v>
      </c>
      <c r="D58" s="5" t="s">
        <v>319</v>
      </c>
      <c r="E58" s="5">
        <v>1</v>
      </c>
      <c r="F58" s="5" t="s">
        <v>26</v>
      </c>
      <c r="G58" s="33">
        <v>1000</v>
      </c>
      <c r="H58" s="33">
        <v>1000</v>
      </c>
      <c r="I58" s="7" t="s">
        <v>18</v>
      </c>
    </row>
    <row r="59" spans="1:9" x14ac:dyDescent="0.25">
      <c r="A59" s="5">
        <v>33</v>
      </c>
      <c r="B59" s="23">
        <v>44960</v>
      </c>
      <c r="C59" s="5">
        <v>221305885</v>
      </c>
      <c r="D59" s="5" t="s">
        <v>289</v>
      </c>
      <c r="E59" s="5">
        <v>1</v>
      </c>
      <c r="F59" s="5" t="s">
        <v>172</v>
      </c>
      <c r="G59" s="33">
        <v>400</v>
      </c>
      <c r="H59" s="33">
        <v>400</v>
      </c>
      <c r="I59" s="7" t="s">
        <v>18</v>
      </c>
    </row>
    <row r="60" spans="1:9" x14ac:dyDescent="0.25">
      <c r="A60" s="5">
        <v>34</v>
      </c>
      <c r="B60" s="23">
        <v>44960</v>
      </c>
      <c r="C60" s="5">
        <v>713758876</v>
      </c>
      <c r="D60" s="5" t="s">
        <v>272</v>
      </c>
      <c r="E60" s="5">
        <v>1</v>
      </c>
      <c r="F60" s="5" t="s">
        <v>172</v>
      </c>
      <c r="G60" s="33">
        <v>400</v>
      </c>
      <c r="H60" s="33">
        <v>400</v>
      </c>
      <c r="I60" s="7" t="s">
        <v>18</v>
      </c>
    </row>
    <row r="61" spans="1:9" x14ac:dyDescent="0.25">
      <c r="A61" s="5">
        <v>35</v>
      </c>
      <c r="B61" s="23">
        <v>44960</v>
      </c>
      <c r="C61" s="5">
        <v>355087917</v>
      </c>
      <c r="D61" s="5" t="s">
        <v>178</v>
      </c>
      <c r="E61" s="5">
        <v>1</v>
      </c>
      <c r="F61" s="5" t="s">
        <v>172</v>
      </c>
      <c r="G61" s="33">
        <v>400</v>
      </c>
      <c r="H61" s="33">
        <v>400</v>
      </c>
      <c r="I61" s="7" t="s">
        <v>18</v>
      </c>
    </row>
    <row r="62" spans="1:9" x14ac:dyDescent="0.25">
      <c r="A62" s="5">
        <v>1</v>
      </c>
      <c r="B62" s="23">
        <v>44961</v>
      </c>
      <c r="C62" s="5">
        <v>78903658</v>
      </c>
      <c r="D62" s="5" t="s">
        <v>183</v>
      </c>
      <c r="E62" s="5">
        <v>1</v>
      </c>
      <c r="F62" s="5" t="s">
        <v>182</v>
      </c>
      <c r="G62" s="33">
        <v>1800</v>
      </c>
      <c r="H62" s="33">
        <v>1800</v>
      </c>
      <c r="I62" s="7" t="s">
        <v>18</v>
      </c>
    </row>
    <row r="63" spans="1:9" x14ac:dyDescent="0.25">
      <c r="A63" s="5">
        <v>2</v>
      </c>
      <c r="B63" s="23">
        <v>44961</v>
      </c>
      <c r="C63" s="5">
        <v>840623079</v>
      </c>
      <c r="D63" s="5" t="s">
        <v>317</v>
      </c>
      <c r="E63" s="5">
        <v>1</v>
      </c>
      <c r="F63" s="5" t="s">
        <v>188</v>
      </c>
      <c r="G63" s="33">
        <v>700</v>
      </c>
      <c r="H63" s="33">
        <v>700</v>
      </c>
      <c r="I63" s="7" t="s">
        <v>18</v>
      </c>
    </row>
    <row r="64" spans="1:9" x14ac:dyDescent="0.25">
      <c r="A64" s="5">
        <v>3</v>
      </c>
      <c r="B64" s="23">
        <v>44961</v>
      </c>
      <c r="C64" s="5">
        <v>660998800</v>
      </c>
      <c r="D64" s="5" t="s">
        <v>196</v>
      </c>
      <c r="E64" s="5">
        <v>1</v>
      </c>
      <c r="F64" s="5" t="s">
        <v>188</v>
      </c>
      <c r="G64" s="33">
        <v>700</v>
      </c>
      <c r="H64" s="33">
        <v>700</v>
      </c>
      <c r="I64" s="7" t="s">
        <v>18</v>
      </c>
    </row>
    <row r="65" spans="1:9" x14ac:dyDescent="0.25">
      <c r="A65" s="5">
        <v>4</v>
      </c>
      <c r="B65" s="23">
        <v>44961</v>
      </c>
      <c r="C65" s="5">
        <v>768889346</v>
      </c>
      <c r="D65" s="5" t="s">
        <v>47</v>
      </c>
      <c r="E65" s="5">
        <v>1</v>
      </c>
      <c r="F65" s="5" t="s">
        <v>26</v>
      </c>
      <c r="G65" s="33">
        <v>1000</v>
      </c>
      <c r="H65" s="33">
        <v>1000</v>
      </c>
      <c r="I65" s="7" t="s">
        <v>18</v>
      </c>
    </row>
    <row r="66" spans="1:9" x14ac:dyDescent="0.25">
      <c r="A66" s="5">
        <v>5</v>
      </c>
      <c r="B66" s="23">
        <v>44961</v>
      </c>
      <c r="C66" s="5">
        <v>414439563</v>
      </c>
      <c r="D66" s="5" t="s">
        <v>180</v>
      </c>
      <c r="E66" s="5">
        <v>1</v>
      </c>
      <c r="F66" s="5" t="s">
        <v>172</v>
      </c>
      <c r="G66" s="33">
        <v>400</v>
      </c>
      <c r="H66" s="33">
        <v>400</v>
      </c>
      <c r="I66" s="7" t="s">
        <v>18</v>
      </c>
    </row>
    <row r="67" spans="1:9" x14ac:dyDescent="0.25">
      <c r="A67" s="5">
        <v>6</v>
      </c>
      <c r="B67" s="23">
        <v>44961</v>
      </c>
      <c r="C67" s="5">
        <v>466307989</v>
      </c>
      <c r="D67" s="5" t="s">
        <v>338</v>
      </c>
      <c r="E67" s="5">
        <v>1</v>
      </c>
      <c r="F67" s="5" t="s">
        <v>182</v>
      </c>
      <c r="G67" s="33">
        <v>800</v>
      </c>
      <c r="H67" s="33">
        <v>800</v>
      </c>
      <c r="I67" s="7" t="s">
        <v>18</v>
      </c>
    </row>
    <row r="68" spans="1:9" x14ac:dyDescent="0.25">
      <c r="A68" s="5">
        <v>7</v>
      </c>
      <c r="B68" s="23">
        <v>44961</v>
      </c>
      <c r="C68" s="5">
        <v>842658325</v>
      </c>
      <c r="D68" s="5" t="s">
        <v>235</v>
      </c>
      <c r="E68" s="5">
        <v>1</v>
      </c>
      <c r="F68" s="5" t="s">
        <v>26</v>
      </c>
      <c r="G68" s="33">
        <v>1000</v>
      </c>
      <c r="H68" s="33">
        <v>1000</v>
      </c>
      <c r="I68" s="7" t="s">
        <v>18</v>
      </c>
    </row>
    <row r="69" spans="1:9" x14ac:dyDescent="0.25">
      <c r="A69" s="5">
        <v>8</v>
      </c>
      <c r="B69" s="23">
        <v>44961</v>
      </c>
      <c r="C69" s="5">
        <v>826857389</v>
      </c>
      <c r="D69" s="5" t="s">
        <v>145</v>
      </c>
      <c r="E69" s="5">
        <v>1</v>
      </c>
      <c r="F69" s="5" t="s">
        <v>26</v>
      </c>
      <c r="G69" s="33">
        <v>1000</v>
      </c>
      <c r="H69" s="33">
        <v>1000</v>
      </c>
      <c r="I69" s="7" t="s">
        <v>18</v>
      </c>
    </row>
    <row r="70" spans="1:9" x14ac:dyDescent="0.25">
      <c r="A70" s="5">
        <v>9</v>
      </c>
      <c r="B70" s="23">
        <v>44961</v>
      </c>
      <c r="C70" s="5">
        <v>990286543</v>
      </c>
      <c r="D70" s="5" t="s">
        <v>275</v>
      </c>
      <c r="E70" s="5">
        <v>1</v>
      </c>
      <c r="F70" s="5" t="s">
        <v>172</v>
      </c>
      <c r="G70" s="33">
        <v>400</v>
      </c>
      <c r="H70" s="33">
        <v>400</v>
      </c>
      <c r="I70" s="7" t="s">
        <v>18</v>
      </c>
    </row>
    <row r="71" spans="1:9" x14ac:dyDescent="0.25">
      <c r="A71" s="5">
        <v>10</v>
      </c>
      <c r="B71" s="23">
        <v>44961</v>
      </c>
      <c r="C71" s="5">
        <v>925758780</v>
      </c>
      <c r="D71" s="5" t="s">
        <v>268</v>
      </c>
      <c r="E71" s="5">
        <v>1</v>
      </c>
      <c r="F71" s="5" t="s">
        <v>26</v>
      </c>
      <c r="G71" s="33">
        <v>1000</v>
      </c>
      <c r="H71" s="33">
        <v>1000</v>
      </c>
      <c r="I71" s="7" t="s">
        <v>24</v>
      </c>
    </row>
    <row r="72" spans="1:9" x14ac:dyDescent="0.25">
      <c r="A72" s="5">
        <v>11</v>
      </c>
      <c r="B72" s="23">
        <v>44963</v>
      </c>
      <c r="C72" s="5">
        <v>86459922</v>
      </c>
      <c r="D72" s="5" t="s">
        <v>278</v>
      </c>
      <c r="E72" s="5">
        <v>1</v>
      </c>
      <c r="F72" s="5" t="s">
        <v>172</v>
      </c>
      <c r="G72" s="33">
        <v>400</v>
      </c>
      <c r="H72" s="33">
        <v>400</v>
      </c>
      <c r="I72" s="7" t="s">
        <v>18</v>
      </c>
    </row>
    <row r="73" spans="1:9" x14ac:dyDescent="0.25">
      <c r="A73" s="5">
        <v>1</v>
      </c>
      <c r="B73" s="23">
        <v>44963</v>
      </c>
      <c r="C73" s="5">
        <v>107822099</v>
      </c>
      <c r="D73" s="5" t="s">
        <v>185</v>
      </c>
      <c r="E73" s="5">
        <v>1</v>
      </c>
      <c r="F73" s="5" t="s">
        <v>182</v>
      </c>
      <c r="G73" s="33">
        <v>2000</v>
      </c>
      <c r="H73" s="33">
        <v>2000</v>
      </c>
      <c r="I73" s="7" t="s">
        <v>18</v>
      </c>
    </row>
    <row r="74" spans="1:9" x14ac:dyDescent="0.25">
      <c r="A74" s="5">
        <v>2</v>
      </c>
      <c r="B74" s="23">
        <v>44963</v>
      </c>
      <c r="C74" s="5">
        <v>86459921</v>
      </c>
      <c r="D74" s="5" t="s">
        <v>276</v>
      </c>
      <c r="E74" s="5">
        <v>1</v>
      </c>
      <c r="F74" s="5" t="s">
        <v>172</v>
      </c>
      <c r="G74" s="33">
        <v>400</v>
      </c>
      <c r="H74" s="33">
        <v>400</v>
      </c>
      <c r="I74" s="7" t="s">
        <v>18</v>
      </c>
    </row>
    <row r="75" spans="1:9" x14ac:dyDescent="0.25">
      <c r="A75" s="5">
        <v>3</v>
      </c>
      <c r="B75" s="23">
        <v>44963</v>
      </c>
      <c r="C75" s="5">
        <v>86459922</v>
      </c>
      <c r="D75" s="5" t="s">
        <v>278</v>
      </c>
      <c r="E75" s="5">
        <v>1</v>
      </c>
      <c r="F75" s="5" t="s">
        <v>172</v>
      </c>
      <c r="G75" s="33">
        <v>400</v>
      </c>
      <c r="H75" s="33">
        <v>400</v>
      </c>
      <c r="I75" s="7" t="s">
        <v>18</v>
      </c>
    </row>
    <row r="76" spans="1:9" x14ac:dyDescent="0.25">
      <c r="A76" s="5">
        <v>4</v>
      </c>
      <c r="B76" s="23">
        <v>44963</v>
      </c>
      <c r="C76" s="5">
        <v>713758876</v>
      </c>
      <c r="D76" s="5" t="s">
        <v>272</v>
      </c>
      <c r="E76" s="5">
        <v>1</v>
      </c>
      <c r="F76" s="5" t="s">
        <v>172</v>
      </c>
      <c r="G76" s="33">
        <v>400</v>
      </c>
      <c r="H76" s="33">
        <v>400</v>
      </c>
      <c r="I76" s="7" t="s">
        <v>18</v>
      </c>
    </row>
    <row r="77" spans="1:9" x14ac:dyDescent="0.25">
      <c r="A77" s="5">
        <v>5</v>
      </c>
      <c r="B77" s="23">
        <v>44963</v>
      </c>
      <c r="C77" s="5">
        <v>357534850</v>
      </c>
      <c r="D77" s="5" t="s">
        <v>234</v>
      </c>
      <c r="E77" s="5">
        <v>1</v>
      </c>
      <c r="F77" s="5" t="s">
        <v>182</v>
      </c>
      <c r="G77" s="33">
        <v>800</v>
      </c>
      <c r="H77" s="33">
        <v>800</v>
      </c>
      <c r="I77" s="7" t="s">
        <v>18</v>
      </c>
    </row>
    <row r="78" spans="1:9" x14ac:dyDescent="0.25">
      <c r="A78" s="5">
        <v>6</v>
      </c>
      <c r="B78" s="23">
        <v>44963</v>
      </c>
      <c r="C78" s="5">
        <v>171471790</v>
      </c>
      <c r="D78" s="5" t="s">
        <v>277</v>
      </c>
      <c r="E78" s="5">
        <v>1</v>
      </c>
      <c r="F78" s="5" t="s">
        <v>172</v>
      </c>
      <c r="G78" s="33">
        <v>400</v>
      </c>
      <c r="H78" s="33">
        <v>400</v>
      </c>
      <c r="I78" s="7" t="s">
        <v>18</v>
      </c>
    </row>
    <row r="79" spans="1:9" x14ac:dyDescent="0.25">
      <c r="A79" s="5">
        <v>7</v>
      </c>
      <c r="B79" s="23">
        <v>44963</v>
      </c>
      <c r="C79" s="5">
        <v>20487912</v>
      </c>
      <c r="D79" s="5" t="s">
        <v>203</v>
      </c>
      <c r="E79" s="5">
        <v>1</v>
      </c>
      <c r="F79" s="5" t="s">
        <v>202</v>
      </c>
      <c r="G79" s="33">
        <v>500</v>
      </c>
      <c r="H79" s="33">
        <v>500</v>
      </c>
      <c r="I79" s="7" t="s">
        <v>18</v>
      </c>
    </row>
    <row r="80" spans="1:9" x14ac:dyDescent="0.25">
      <c r="A80" s="5">
        <v>8</v>
      </c>
      <c r="B80" s="23">
        <v>44963</v>
      </c>
      <c r="C80" s="5">
        <v>171471789</v>
      </c>
      <c r="D80" s="5" t="s">
        <v>190</v>
      </c>
      <c r="E80" s="5">
        <v>1</v>
      </c>
      <c r="F80" s="5" t="s">
        <v>182</v>
      </c>
      <c r="G80" s="33">
        <v>900</v>
      </c>
      <c r="H80" s="33">
        <v>900</v>
      </c>
      <c r="I80" s="7" t="s">
        <v>18</v>
      </c>
    </row>
    <row r="81" spans="1:9" x14ac:dyDescent="0.25">
      <c r="A81" s="5">
        <v>9</v>
      </c>
      <c r="B81" s="23">
        <v>44963</v>
      </c>
      <c r="C81" s="5">
        <v>211494658</v>
      </c>
      <c r="D81" s="5" t="s">
        <v>419</v>
      </c>
      <c r="E81" s="5">
        <v>1</v>
      </c>
      <c r="F81" s="5" t="s">
        <v>210</v>
      </c>
      <c r="G81" s="33">
        <v>700</v>
      </c>
      <c r="H81" s="33">
        <v>700</v>
      </c>
      <c r="I81" s="7" t="s">
        <v>18</v>
      </c>
    </row>
    <row r="82" spans="1:9" x14ac:dyDescent="0.25">
      <c r="A82" s="5">
        <v>10</v>
      </c>
      <c r="B82" s="23">
        <v>44963</v>
      </c>
      <c r="C82" s="5">
        <v>866100056</v>
      </c>
      <c r="D82" s="5" t="s">
        <v>281</v>
      </c>
      <c r="E82" s="5">
        <v>1</v>
      </c>
      <c r="F82" s="5" t="s">
        <v>172</v>
      </c>
      <c r="G82" s="33">
        <v>400</v>
      </c>
      <c r="H82" s="33">
        <v>400</v>
      </c>
      <c r="I82" s="7" t="s">
        <v>18</v>
      </c>
    </row>
    <row r="83" spans="1:9" x14ac:dyDescent="0.25">
      <c r="A83" s="5">
        <v>11</v>
      </c>
      <c r="B83" s="23">
        <v>44963</v>
      </c>
      <c r="C83" s="5">
        <v>828831463</v>
      </c>
      <c r="D83" s="5" t="s">
        <v>213</v>
      </c>
      <c r="E83" s="5">
        <v>1</v>
      </c>
      <c r="F83" s="5" t="s">
        <v>210</v>
      </c>
      <c r="G83" s="33">
        <v>900</v>
      </c>
      <c r="H83" s="33">
        <v>900</v>
      </c>
      <c r="I83" s="7" t="s">
        <v>23</v>
      </c>
    </row>
    <row r="84" spans="1:9" x14ac:dyDescent="0.25">
      <c r="A84" s="5">
        <v>12</v>
      </c>
      <c r="B84" s="23">
        <v>44963</v>
      </c>
      <c r="C84" s="5">
        <v>460651877</v>
      </c>
      <c r="D84" s="5" t="s">
        <v>187</v>
      </c>
      <c r="E84" s="5">
        <v>1</v>
      </c>
      <c r="F84" s="5" t="s">
        <v>182</v>
      </c>
      <c r="G84" s="33">
        <v>1500</v>
      </c>
      <c r="H84" s="33">
        <v>1500</v>
      </c>
      <c r="I84" s="7" t="s">
        <v>23</v>
      </c>
    </row>
    <row r="85" spans="1:9" x14ac:dyDescent="0.25">
      <c r="A85" s="5">
        <v>13</v>
      </c>
      <c r="B85" s="23">
        <v>45079</v>
      </c>
      <c r="C85" s="5">
        <v>302465250</v>
      </c>
      <c r="D85" s="5" t="s">
        <v>29</v>
      </c>
      <c r="E85" s="5">
        <v>1</v>
      </c>
      <c r="F85" s="5" t="s">
        <v>26</v>
      </c>
      <c r="G85" s="33">
        <v>1000</v>
      </c>
      <c r="H85" s="33">
        <v>1000</v>
      </c>
      <c r="I85" s="7" t="s">
        <v>18</v>
      </c>
    </row>
    <row r="86" spans="1:9" x14ac:dyDescent="0.25">
      <c r="A86" s="5">
        <v>1</v>
      </c>
      <c r="B86" s="23">
        <v>44963</v>
      </c>
      <c r="C86" s="5">
        <v>318289721</v>
      </c>
      <c r="D86" s="5" t="s">
        <v>259</v>
      </c>
      <c r="E86" s="5">
        <v>1</v>
      </c>
      <c r="F86" s="5" t="s">
        <v>172</v>
      </c>
      <c r="G86" s="33">
        <v>400</v>
      </c>
      <c r="H86" s="33">
        <v>400</v>
      </c>
      <c r="I86" s="7" t="s">
        <v>23</v>
      </c>
    </row>
    <row r="87" spans="1:9" x14ac:dyDescent="0.25">
      <c r="A87" s="5">
        <v>1</v>
      </c>
      <c r="B87" s="23">
        <v>44964</v>
      </c>
      <c r="C87" s="5">
        <v>848817032</v>
      </c>
      <c r="D87" s="5" t="s">
        <v>282</v>
      </c>
      <c r="E87" s="5">
        <v>1</v>
      </c>
      <c r="F87" s="5" t="s">
        <v>172</v>
      </c>
      <c r="G87" s="33">
        <v>400</v>
      </c>
      <c r="H87" s="33">
        <v>400</v>
      </c>
      <c r="I87" s="7" t="s">
        <v>18</v>
      </c>
    </row>
    <row r="88" spans="1:9" x14ac:dyDescent="0.25">
      <c r="A88" s="5">
        <v>2</v>
      </c>
      <c r="B88" s="23">
        <v>44964</v>
      </c>
      <c r="C88" s="5">
        <v>86459921</v>
      </c>
      <c r="D88" s="5" t="s">
        <v>276</v>
      </c>
      <c r="E88" s="5">
        <v>1</v>
      </c>
      <c r="F88" s="5" t="s">
        <v>172</v>
      </c>
      <c r="G88" s="33">
        <v>400</v>
      </c>
      <c r="H88" s="33">
        <v>400</v>
      </c>
      <c r="I88" s="7" t="s">
        <v>18</v>
      </c>
    </row>
    <row r="89" spans="1:9" x14ac:dyDescent="0.25">
      <c r="A89" s="5">
        <v>3</v>
      </c>
      <c r="B89" s="23">
        <v>44964</v>
      </c>
      <c r="C89" s="5">
        <v>828831464</v>
      </c>
      <c r="D89" s="5" t="s">
        <v>285</v>
      </c>
      <c r="E89" s="5">
        <v>1</v>
      </c>
      <c r="F89" s="5" t="s">
        <v>26</v>
      </c>
      <c r="G89" s="33">
        <v>1000</v>
      </c>
      <c r="H89" s="33">
        <v>1000</v>
      </c>
      <c r="I89" s="7" t="s">
        <v>18</v>
      </c>
    </row>
    <row r="90" spans="1:9" x14ac:dyDescent="0.25">
      <c r="A90" s="5">
        <v>4</v>
      </c>
      <c r="B90" s="23">
        <v>44964</v>
      </c>
      <c r="C90" s="5">
        <v>86459921</v>
      </c>
      <c r="D90" s="5" t="s">
        <v>276</v>
      </c>
      <c r="E90" s="5">
        <v>1</v>
      </c>
      <c r="F90" s="5" t="s">
        <v>172</v>
      </c>
      <c r="G90" s="33">
        <v>400</v>
      </c>
      <c r="H90" s="33">
        <v>400</v>
      </c>
      <c r="I90" s="7" t="s">
        <v>18</v>
      </c>
    </row>
    <row r="91" spans="1:9" x14ac:dyDescent="0.25">
      <c r="A91" s="5">
        <v>5</v>
      </c>
      <c r="B91" s="23">
        <v>44964</v>
      </c>
      <c r="C91" s="5">
        <v>194667494</v>
      </c>
      <c r="D91" s="5" t="s">
        <v>253</v>
      </c>
      <c r="E91" s="5">
        <v>1</v>
      </c>
      <c r="F91" s="5" t="s">
        <v>26</v>
      </c>
      <c r="G91" s="33">
        <v>1000</v>
      </c>
      <c r="H91" s="33">
        <v>1000</v>
      </c>
      <c r="I91" s="7" t="s">
        <v>18</v>
      </c>
    </row>
    <row r="92" spans="1:9" x14ac:dyDescent="0.25">
      <c r="A92" s="5">
        <v>6</v>
      </c>
      <c r="B92" s="23">
        <v>44964</v>
      </c>
      <c r="C92" s="5">
        <v>171471789</v>
      </c>
      <c r="D92" s="5" t="s">
        <v>190</v>
      </c>
      <c r="E92" s="5">
        <v>1</v>
      </c>
      <c r="F92" s="5" t="s">
        <v>182</v>
      </c>
      <c r="G92" s="33">
        <v>900</v>
      </c>
      <c r="H92" s="33">
        <v>900</v>
      </c>
      <c r="I92" s="7" t="s">
        <v>18</v>
      </c>
    </row>
    <row r="93" spans="1:9" x14ac:dyDescent="0.25">
      <c r="A93" s="5">
        <v>7</v>
      </c>
      <c r="B93" s="23">
        <v>44964</v>
      </c>
      <c r="C93" s="5">
        <v>713758876</v>
      </c>
      <c r="D93" s="5" t="s">
        <v>272</v>
      </c>
      <c r="E93" s="5">
        <v>1</v>
      </c>
      <c r="F93" s="5" t="s">
        <v>172</v>
      </c>
      <c r="G93" s="33">
        <v>400</v>
      </c>
      <c r="H93" s="33">
        <v>400</v>
      </c>
      <c r="I93" s="7" t="s">
        <v>18</v>
      </c>
    </row>
    <row r="94" spans="1:9" x14ac:dyDescent="0.25">
      <c r="A94" s="5">
        <v>8</v>
      </c>
      <c r="B94" s="23">
        <v>44964</v>
      </c>
      <c r="C94" s="5">
        <v>86459921</v>
      </c>
      <c r="D94" s="5" t="s">
        <v>276</v>
      </c>
      <c r="E94" s="5">
        <v>1</v>
      </c>
      <c r="F94" s="5" t="s">
        <v>172</v>
      </c>
      <c r="G94" s="33">
        <v>400</v>
      </c>
      <c r="H94" s="33">
        <v>400</v>
      </c>
      <c r="I94" s="7" t="s">
        <v>23</v>
      </c>
    </row>
    <row r="95" spans="1:9" x14ac:dyDescent="0.25">
      <c r="A95" s="5">
        <v>9</v>
      </c>
      <c r="B95" s="23">
        <v>44964</v>
      </c>
      <c r="C95" s="5">
        <v>78903658</v>
      </c>
      <c r="D95" s="5" t="s">
        <v>183</v>
      </c>
      <c r="E95" s="5">
        <v>1</v>
      </c>
      <c r="F95" s="5" t="s">
        <v>182</v>
      </c>
      <c r="G95" s="33">
        <v>1800</v>
      </c>
      <c r="H95" s="33">
        <v>1800</v>
      </c>
      <c r="I95" s="7" t="s">
        <v>23</v>
      </c>
    </row>
    <row r="96" spans="1:9" x14ac:dyDescent="0.25">
      <c r="A96" s="5">
        <v>10</v>
      </c>
      <c r="B96" s="23">
        <v>44964</v>
      </c>
      <c r="C96" s="5">
        <v>357534850</v>
      </c>
      <c r="D96" s="5" t="s">
        <v>234</v>
      </c>
      <c r="E96" s="5">
        <v>1</v>
      </c>
      <c r="F96" s="5" t="s">
        <v>182</v>
      </c>
      <c r="G96" s="33">
        <v>800</v>
      </c>
      <c r="H96" s="33">
        <v>800</v>
      </c>
      <c r="I96" s="7" t="s">
        <v>24</v>
      </c>
    </row>
    <row r="97" spans="1:9" x14ac:dyDescent="0.25">
      <c r="A97" s="5">
        <v>11</v>
      </c>
      <c r="B97" s="23">
        <v>45109</v>
      </c>
      <c r="C97" s="5">
        <v>357534850</v>
      </c>
      <c r="D97" s="5" t="s">
        <v>234</v>
      </c>
      <c r="E97" s="5">
        <v>1</v>
      </c>
      <c r="F97" s="5" t="s">
        <v>182</v>
      </c>
      <c r="G97" s="33">
        <v>800</v>
      </c>
      <c r="H97" s="33">
        <v>800</v>
      </c>
      <c r="I97" s="7" t="s">
        <v>18</v>
      </c>
    </row>
    <row r="98" spans="1:9" x14ac:dyDescent="0.25">
      <c r="A98" s="5">
        <v>12</v>
      </c>
      <c r="B98" s="23">
        <v>45109</v>
      </c>
      <c r="C98" s="5">
        <v>660998802</v>
      </c>
      <c r="D98" s="5" t="s">
        <v>467</v>
      </c>
      <c r="E98" s="5">
        <v>1</v>
      </c>
      <c r="F98" s="5" t="s">
        <v>26</v>
      </c>
      <c r="G98" s="33">
        <v>1400</v>
      </c>
      <c r="H98" s="33">
        <v>1400</v>
      </c>
      <c r="I98" s="7" t="s">
        <v>23</v>
      </c>
    </row>
    <row r="99" spans="1:9" x14ac:dyDescent="0.25">
      <c r="A99" s="5">
        <v>13</v>
      </c>
      <c r="B99" s="23">
        <v>44964</v>
      </c>
      <c r="C99" s="5">
        <v>833221323</v>
      </c>
      <c r="D99" s="5" t="s">
        <v>254</v>
      </c>
      <c r="E99" s="5">
        <v>1</v>
      </c>
      <c r="F99" s="5" t="s">
        <v>26</v>
      </c>
      <c r="G99" s="33">
        <v>600</v>
      </c>
      <c r="H99" s="33">
        <v>600</v>
      </c>
      <c r="I99" s="7" t="s">
        <v>18</v>
      </c>
    </row>
    <row r="100" spans="1:9" x14ac:dyDescent="0.25">
      <c r="A100" s="5">
        <v>14</v>
      </c>
      <c r="B100" s="23">
        <v>44964</v>
      </c>
      <c r="C100" s="5">
        <v>357534850</v>
      </c>
      <c r="D100" s="5" t="s">
        <v>234</v>
      </c>
      <c r="E100" s="5">
        <v>1</v>
      </c>
      <c r="F100" s="5" t="s">
        <v>182</v>
      </c>
      <c r="G100" s="33">
        <v>800</v>
      </c>
      <c r="H100" s="33">
        <v>800</v>
      </c>
      <c r="I100" s="7" t="s">
        <v>18</v>
      </c>
    </row>
    <row r="101" spans="1:9" x14ac:dyDescent="0.25">
      <c r="A101" s="5">
        <v>15</v>
      </c>
      <c r="B101" s="23">
        <v>44964</v>
      </c>
      <c r="C101" s="5">
        <v>171340858</v>
      </c>
      <c r="D101" s="5" t="s">
        <v>274</v>
      </c>
      <c r="E101" s="5">
        <v>1</v>
      </c>
      <c r="F101" s="5" t="s">
        <v>172</v>
      </c>
      <c r="G101" s="33">
        <v>400</v>
      </c>
      <c r="H101" s="33">
        <v>400</v>
      </c>
      <c r="I101" s="7" t="s">
        <v>18</v>
      </c>
    </row>
    <row r="102" spans="1:9" x14ac:dyDescent="0.25">
      <c r="A102" s="5">
        <v>16</v>
      </c>
      <c r="B102" s="23">
        <v>44964</v>
      </c>
      <c r="C102" s="5">
        <v>713758876</v>
      </c>
      <c r="D102" s="5" t="s">
        <v>272</v>
      </c>
      <c r="E102" s="5">
        <v>1</v>
      </c>
      <c r="F102" s="5" t="s">
        <v>172</v>
      </c>
      <c r="G102" s="33">
        <v>400</v>
      </c>
      <c r="H102" s="33">
        <v>400</v>
      </c>
      <c r="I102" s="7" t="s">
        <v>24</v>
      </c>
    </row>
    <row r="103" spans="1:9" x14ac:dyDescent="0.25">
      <c r="A103" s="5">
        <v>17</v>
      </c>
      <c r="B103" s="23">
        <v>44964</v>
      </c>
      <c r="C103" s="5">
        <v>722483455</v>
      </c>
      <c r="D103" s="5" t="s">
        <v>158</v>
      </c>
      <c r="E103" s="5">
        <v>1</v>
      </c>
      <c r="F103" s="5" t="s">
        <v>26</v>
      </c>
      <c r="G103" s="33">
        <v>1000</v>
      </c>
      <c r="H103" s="33">
        <v>1000</v>
      </c>
      <c r="I103" s="7" t="s">
        <v>24</v>
      </c>
    </row>
    <row r="104" spans="1:9" x14ac:dyDescent="0.25">
      <c r="A104" s="5">
        <v>18</v>
      </c>
      <c r="B104" s="23">
        <v>44964</v>
      </c>
      <c r="C104" s="5">
        <v>357534850</v>
      </c>
      <c r="D104" s="5" t="s">
        <v>234</v>
      </c>
      <c r="E104" s="5">
        <v>1</v>
      </c>
      <c r="F104" s="5" t="s">
        <v>182</v>
      </c>
      <c r="G104" s="33">
        <v>800</v>
      </c>
      <c r="H104" s="33">
        <v>800</v>
      </c>
      <c r="I104" s="7" t="s">
        <v>23</v>
      </c>
    </row>
    <row r="105" spans="1:9" x14ac:dyDescent="0.25">
      <c r="A105" s="5">
        <v>1</v>
      </c>
      <c r="B105" s="23">
        <v>44965</v>
      </c>
      <c r="C105" s="5">
        <v>466307989</v>
      </c>
      <c r="D105" s="5" t="s">
        <v>338</v>
      </c>
      <c r="E105" s="5">
        <v>1</v>
      </c>
      <c r="F105" s="5" t="s">
        <v>182</v>
      </c>
      <c r="G105" s="33">
        <v>800</v>
      </c>
      <c r="H105" s="33">
        <v>800</v>
      </c>
      <c r="I105" s="7" t="s">
        <v>23</v>
      </c>
    </row>
    <row r="106" spans="1:9" x14ac:dyDescent="0.25">
      <c r="A106" s="5">
        <v>2</v>
      </c>
      <c r="B106" s="23">
        <v>44965</v>
      </c>
      <c r="C106" s="5">
        <v>966274724</v>
      </c>
      <c r="D106" s="5" t="s">
        <v>307</v>
      </c>
      <c r="E106" s="5">
        <v>1</v>
      </c>
      <c r="F106" s="5" t="s">
        <v>26</v>
      </c>
      <c r="G106" s="33">
        <v>1400</v>
      </c>
      <c r="H106" s="33">
        <v>1400</v>
      </c>
      <c r="I106" s="7" t="s">
        <v>18</v>
      </c>
    </row>
    <row r="107" spans="1:9" x14ac:dyDescent="0.25">
      <c r="A107" s="5">
        <v>3</v>
      </c>
      <c r="B107" s="23">
        <v>44965</v>
      </c>
      <c r="C107" s="5">
        <v>107822099</v>
      </c>
      <c r="D107" s="5" t="s">
        <v>185</v>
      </c>
      <c r="E107" s="5">
        <v>1</v>
      </c>
      <c r="F107" s="5" t="s">
        <v>182</v>
      </c>
      <c r="G107" s="33">
        <v>2000</v>
      </c>
      <c r="H107" s="33">
        <v>2000</v>
      </c>
      <c r="I107" s="7" t="s">
        <v>18</v>
      </c>
    </row>
    <row r="108" spans="1:9" x14ac:dyDescent="0.25">
      <c r="A108" s="5">
        <v>4</v>
      </c>
      <c r="B108" s="23">
        <v>44965</v>
      </c>
      <c r="C108" s="5">
        <v>990286544</v>
      </c>
      <c r="D108" s="5" t="s">
        <v>466</v>
      </c>
      <c r="E108" s="5">
        <v>1</v>
      </c>
      <c r="F108" s="5" t="s">
        <v>188</v>
      </c>
      <c r="G108" s="33">
        <v>900</v>
      </c>
      <c r="H108" s="33">
        <v>900</v>
      </c>
      <c r="I108" s="7" t="s">
        <v>18</v>
      </c>
    </row>
    <row r="109" spans="1:9" x14ac:dyDescent="0.25">
      <c r="A109" s="5">
        <v>5</v>
      </c>
      <c r="B109" s="23">
        <v>44965</v>
      </c>
      <c r="C109" s="5">
        <v>78903658</v>
      </c>
      <c r="D109" s="5" t="s">
        <v>183</v>
      </c>
      <c r="E109" s="5">
        <v>1</v>
      </c>
      <c r="F109" s="5" t="s">
        <v>182</v>
      </c>
      <c r="G109" s="33">
        <v>1800</v>
      </c>
      <c r="H109" s="33">
        <v>1800</v>
      </c>
      <c r="I109" s="7" t="s">
        <v>23</v>
      </c>
    </row>
    <row r="110" spans="1:9" x14ac:dyDescent="0.25">
      <c r="A110" s="5">
        <v>6</v>
      </c>
      <c r="B110" s="23">
        <v>44965</v>
      </c>
      <c r="C110" s="5">
        <v>154326100</v>
      </c>
      <c r="D110" s="5" t="s">
        <v>199</v>
      </c>
      <c r="E110" s="5">
        <v>1</v>
      </c>
      <c r="F110" s="5" t="s">
        <v>188</v>
      </c>
      <c r="G110" s="33">
        <v>700</v>
      </c>
      <c r="H110" s="33">
        <v>700</v>
      </c>
      <c r="I110" s="7" t="s">
        <v>23</v>
      </c>
    </row>
    <row r="111" spans="1:9" x14ac:dyDescent="0.25">
      <c r="A111" s="5">
        <v>7</v>
      </c>
      <c r="B111" s="23">
        <v>44965</v>
      </c>
      <c r="C111" s="5">
        <v>118309195</v>
      </c>
      <c r="D111" s="5" t="s">
        <v>298</v>
      </c>
      <c r="E111" s="5">
        <v>1</v>
      </c>
      <c r="F111" s="5" t="s">
        <v>26</v>
      </c>
      <c r="G111" s="33">
        <v>1400</v>
      </c>
      <c r="H111" s="33">
        <v>1400</v>
      </c>
      <c r="I111" s="7" t="s">
        <v>23</v>
      </c>
    </row>
    <row r="112" spans="1:9" x14ac:dyDescent="0.25">
      <c r="A112" s="5">
        <v>8</v>
      </c>
      <c r="B112" s="23">
        <v>44965</v>
      </c>
      <c r="C112" s="5">
        <v>357534850</v>
      </c>
      <c r="D112" s="5" t="s">
        <v>234</v>
      </c>
      <c r="E112" s="5">
        <v>1</v>
      </c>
      <c r="F112" s="5" t="s">
        <v>182</v>
      </c>
      <c r="G112" s="33">
        <v>800</v>
      </c>
      <c r="H112" s="33">
        <v>800</v>
      </c>
      <c r="I112" s="7" t="s">
        <v>23</v>
      </c>
    </row>
    <row r="113" spans="1:9" x14ac:dyDescent="0.25">
      <c r="A113" s="5">
        <v>1</v>
      </c>
      <c r="B113" s="23">
        <v>44966</v>
      </c>
      <c r="C113" s="5">
        <v>47274029</v>
      </c>
      <c r="D113" s="5" t="s">
        <v>211</v>
      </c>
      <c r="E113" s="5">
        <v>1</v>
      </c>
      <c r="F113" s="5" t="s">
        <v>172</v>
      </c>
      <c r="G113" s="33">
        <v>400</v>
      </c>
      <c r="H113" s="33">
        <v>400</v>
      </c>
      <c r="I113" s="7" t="s">
        <v>18</v>
      </c>
    </row>
    <row r="114" spans="1:9" x14ac:dyDescent="0.25">
      <c r="A114" s="5">
        <v>2</v>
      </c>
      <c r="B114" s="23">
        <v>44966</v>
      </c>
      <c r="C114" s="5">
        <v>133540647</v>
      </c>
      <c r="D114" s="5" t="s">
        <v>197</v>
      </c>
      <c r="E114" s="5">
        <v>1</v>
      </c>
      <c r="F114" s="5" t="s">
        <v>188</v>
      </c>
      <c r="G114" s="33">
        <v>900</v>
      </c>
      <c r="H114" s="33">
        <v>900</v>
      </c>
      <c r="I114" s="7" t="s">
        <v>18</v>
      </c>
    </row>
    <row r="115" spans="1:9" x14ac:dyDescent="0.25">
      <c r="A115" s="5">
        <v>3</v>
      </c>
      <c r="B115" s="23">
        <v>44966</v>
      </c>
      <c r="C115" s="5">
        <v>833221322</v>
      </c>
      <c r="D115" s="5" t="s">
        <v>129</v>
      </c>
      <c r="E115" s="5">
        <v>1</v>
      </c>
      <c r="F115" s="5" t="s">
        <v>26</v>
      </c>
      <c r="G115" s="33">
        <v>1000</v>
      </c>
      <c r="H115" s="33">
        <v>1000</v>
      </c>
      <c r="I115" s="7" t="s">
        <v>23</v>
      </c>
    </row>
    <row r="116" spans="1:9" x14ac:dyDescent="0.25">
      <c r="A116" s="5">
        <v>4</v>
      </c>
      <c r="B116" s="23">
        <v>44966</v>
      </c>
      <c r="C116" s="5">
        <v>713758876</v>
      </c>
      <c r="D116" s="5" t="s">
        <v>272</v>
      </c>
      <c r="E116" s="5">
        <v>1</v>
      </c>
      <c r="F116" s="5" t="s">
        <v>172</v>
      </c>
      <c r="G116" s="33">
        <v>400</v>
      </c>
      <c r="H116" s="33">
        <v>400</v>
      </c>
      <c r="I116" s="7" t="s">
        <v>23</v>
      </c>
    </row>
    <row r="117" spans="1:9" x14ac:dyDescent="0.25">
      <c r="A117" s="5">
        <v>5</v>
      </c>
      <c r="B117" s="23">
        <v>44966</v>
      </c>
      <c r="C117" s="5">
        <v>713758876</v>
      </c>
      <c r="D117" s="5" t="s">
        <v>272</v>
      </c>
      <c r="E117" s="5">
        <v>1</v>
      </c>
      <c r="F117" s="5" t="s">
        <v>172</v>
      </c>
      <c r="G117" s="33">
        <v>400</v>
      </c>
      <c r="H117" s="33">
        <v>400</v>
      </c>
      <c r="I117" s="7" t="s">
        <v>23</v>
      </c>
    </row>
    <row r="118" spans="1:9" x14ac:dyDescent="0.25">
      <c r="A118" s="5">
        <v>6</v>
      </c>
      <c r="B118" s="23">
        <v>44966</v>
      </c>
      <c r="C118" s="5">
        <v>848817032</v>
      </c>
      <c r="D118" s="5" t="s">
        <v>282</v>
      </c>
      <c r="E118" s="5">
        <v>1</v>
      </c>
      <c r="F118" s="5" t="s">
        <v>172</v>
      </c>
      <c r="G118" s="33">
        <v>400</v>
      </c>
      <c r="H118" s="33">
        <v>400</v>
      </c>
      <c r="I118" s="7" t="s">
        <v>18</v>
      </c>
    </row>
    <row r="119" spans="1:9" x14ac:dyDescent="0.25">
      <c r="A119" s="5">
        <v>7</v>
      </c>
      <c r="B119" s="23">
        <v>44966</v>
      </c>
      <c r="C119" s="5">
        <v>784907562</v>
      </c>
      <c r="D119" s="5" t="s">
        <v>265</v>
      </c>
      <c r="E119" s="5">
        <v>1</v>
      </c>
      <c r="F119" s="5" t="s">
        <v>172</v>
      </c>
      <c r="G119" s="33">
        <v>400</v>
      </c>
      <c r="H119" s="33">
        <v>400</v>
      </c>
      <c r="I119" s="7" t="s">
        <v>18</v>
      </c>
    </row>
    <row r="120" spans="1:9" x14ac:dyDescent="0.25">
      <c r="A120" s="5">
        <v>8</v>
      </c>
      <c r="B120" s="23">
        <v>44966</v>
      </c>
      <c r="C120" s="5">
        <v>171471790</v>
      </c>
      <c r="D120" s="5" t="s">
        <v>277</v>
      </c>
      <c r="E120" s="5">
        <v>1</v>
      </c>
      <c r="F120" s="5" t="s">
        <v>172</v>
      </c>
      <c r="G120" s="33">
        <v>400</v>
      </c>
      <c r="H120" s="33">
        <v>400</v>
      </c>
      <c r="I120" s="7" t="s">
        <v>18</v>
      </c>
    </row>
    <row r="121" spans="1:9" x14ac:dyDescent="0.25">
      <c r="A121" s="5">
        <v>9</v>
      </c>
      <c r="B121" s="23">
        <v>44966</v>
      </c>
      <c r="C121" s="5">
        <v>660998800</v>
      </c>
      <c r="D121" s="5" t="s">
        <v>196</v>
      </c>
      <c r="E121" s="5">
        <v>1</v>
      </c>
      <c r="F121" s="5" t="s">
        <v>188</v>
      </c>
      <c r="G121" s="33">
        <v>700</v>
      </c>
      <c r="H121" s="33">
        <v>700</v>
      </c>
      <c r="I121" s="7" t="s">
        <v>18</v>
      </c>
    </row>
    <row r="122" spans="1:9" x14ac:dyDescent="0.25">
      <c r="A122" s="5">
        <v>10</v>
      </c>
      <c r="B122" s="23">
        <v>44966</v>
      </c>
      <c r="C122" s="5">
        <v>466307989</v>
      </c>
      <c r="D122" s="5" t="s">
        <v>338</v>
      </c>
      <c r="E122" s="5">
        <v>1</v>
      </c>
      <c r="F122" s="5" t="s">
        <v>182</v>
      </c>
      <c r="G122" s="33">
        <v>800</v>
      </c>
      <c r="H122" s="33">
        <v>800</v>
      </c>
      <c r="I122" s="7" t="s">
        <v>18</v>
      </c>
    </row>
    <row r="123" spans="1:9" x14ac:dyDescent="0.25">
      <c r="A123" s="5">
        <v>11</v>
      </c>
      <c r="B123" s="23">
        <v>44966</v>
      </c>
      <c r="C123" s="5">
        <v>861192764</v>
      </c>
      <c r="D123" s="5" t="s">
        <v>270</v>
      </c>
      <c r="E123" s="5">
        <v>1</v>
      </c>
      <c r="F123" s="5" t="s">
        <v>26</v>
      </c>
      <c r="G123" s="33">
        <v>1000</v>
      </c>
      <c r="H123" s="33">
        <v>1000</v>
      </c>
      <c r="I123" s="7" t="s">
        <v>18</v>
      </c>
    </row>
    <row r="124" spans="1:9" x14ac:dyDescent="0.25">
      <c r="A124" s="5">
        <v>12</v>
      </c>
      <c r="B124" s="23">
        <v>44966</v>
      </c>
      <c r="C124" s="5">
        <v>866100056</v>
      </c>
      <c r="D124" s="5" t="s">
        <v>281</v>
      </c>
      <c r="E124" s="5">
        <v>1</v>
      </c>
      <c r="F124" s="5" t="s">
        <v>172</v>
      </c>
      <c r="G124" s="33">
        <v>400</v>
      </c>
      <c r="H124" s="33">
        <v>400</v>
      </c>
      <c r="I124" s="7" t="s">
        <v>18</v>
      </c>
    </row>
    <row r="125" spans="1:9" x14ac:dyDescent="0.25">
      <c r="A125" s="5">
        <v>13</v>
      </c>
      <c r="B125" s="23">
        <v>44966</v>
      </c>
      <c r="C125" s="5">
        <v>374659860</v>
      </c>
      <c r="D125" s="5" t="s">
        <v>335</v>
      </c>
      <c r="E125" s="5">
        <v>1</v>
      </c>
      <c r="F125" s="5" t="s">
        <v>172</v>
      </c>
      <c r="G125" s="33">
        <v>400</v>
      </c>
      <c r="H125" s="33">
        <v>400</v>
      </c>
      <c r="I125" s="7" t="s">
        <v>18</v>
      </c>
    </row>
    <row r="126" spans="1:9" x14ac:dyDescent="0.25">
      <c r="A126" s="5">
        <v>14</v>
      </c>
      <c r="B126" s="23">
        <v>44966</v>
      </c>
      <c r="C126" s="5">
        <v>171340858</v>
      </c>
      <c r="D126" s="5" t="s">
        <v>274</v>
      </c>
      <c r="E126" s="5">
        <v>1</v>
      </c>
      <c r="F126" s="5" t="s">
        <v>172</v>
      </c>
      <c r="G126" s="33">
        <v>400</v>
      </c>
      <c r="H126" s="33">
        <v>400</v>
      </c>
      <c r="I126" s="7" t="s">
        <v>18</v>
      </c>
    </row>
    <row r="127" spans="1:9" x14ac:dyDescent="0.25">
      <c r="A127" s="5">
        <v>15</v>
      </c>
      <c r="B127" s="23">
        <v>44966</v>
      </c>
      <c r="C127" s="5">
        <v>412771600</v>
      </c>
      <c r="D127" s="5" t="s">
        <v>374</v>
      </c>
      <c r="E127" s="5">
        <v>1</v>
      </c>
      <c r="F127" s="5" t="s">
        <v>172</v>
      </c>
      <c r="G127" s="33">
        <v>400</v>
      </c>
      <c r="H127" s="33">
        <v>400</v>
      </c>
      <c r="I127" s="7" t="s">
        <v>18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>
    <tabColor rgb="FF7030A0"/>
  </sheetPr>
  <dimension ref="B1:J10"/>
  <sheetViews>
    <sheetView workbookViewId="0">
      <selection activeCell="F3" sqref="F3"/>
    </sheetView>
  </sheetViews>
  <sheetFormatPr baseColWidth="10" defaultRowHeight="15" x14ac:dyDescent="0.25"/>
  <cols>
    <col min="1" max="1" width="1.7109375" customWidth="1"/>
    <col min="2" max="2" width="2.140625" customWidth="1"/>
    <col min="3" max="3" width="18.28515625" style="22" customWidth="1"/>
    <col min="4" max="5" width="18.28515625" customWidth="1"/>
    <col min="6" max="6" width="20" bestFit="1" customWidth="1"/>
    <col min="7" max="7" width="20.5703125" customWidth="1"/>
    <col min="8" max="8" width="20.85546875" bestFit="1" customWidth="1"/>
    <col min="9" max="9" width="3.140625" customWidth="1"/>
    <col min="10" max="10" width="23.140625" customWidth="1"/>
    <col min="11" max="11" width="2.5703125" customWidth="1"/>
  </cols>
  <sheetData>
    <row r="1" spans="2:10" x14ac:dyDescent="0.25">
      <c r="C1" s="46" t="s">
        <v>150</v>
      </c>
      <c r="D1" s="47"/>
      <c r="E1" s="47"/>
      <c r="F1" s="47"/>
      <c r="G1" s="47"/>
      <c r="H1" s="48"/>
    </row>
    <row r="2" spans="2:10" ht="15.75" thickBot="1" x14ac:dyDescent="0.3">
      <c r="B2" s="6"/>
      <c r="C2" s="49"/>
      <c r="D2" s="50"/>
      <c r="E2" s="50"/>
      <c r="F2" s="50"/>
      <c r="G2" s="50"/>
      <c r="H2" s="51"/>
    </row>
    <row r="3" spans="2:10" x14ac:dyDescent="0.25">
      <c r="C3" s="23" t="s">
        <v>2</v>
      </c>
      <c r="D3" s="8" t="s">
        <v>18</v>
      </c>
      <c r="E3" s="10" t="s">
        <v>23</v>
      </c>
      <c r="F3" s="10" t="s">
        <v>24</v>
      </c>
      <c r="G3" s="10" t="s">
        <v>25</v>
      </c>
      <c r="H3" s="10" t="s">
        <v>22</v>
      </c>
      <c r="J3" s="31" t="s">
        <v>386</v>
      </c>
    </row>
    <row r="4" spans="2:10" x14ac:dyDescent="0.25">
      <c r="C4" s="23">
        <v>44963</v>
      </c>
      <c r="D4" s="10">
        <f>SUMIFS(TABLA_CIERRES[PRETIO TOTAL],TABLA_CIERRES[FORMA DE PAGO],"Efectivo",TABLA_CIERRES[Fecha],Tabla5[[#This Row],[FECHA]])</f>
        <v>7300</v>
      </c>
      <c r="E4" s="10">
        <f>SUMIFS(TABLA_CIERRES[PRETIO TOTAL],TABLA_CIERRES[FORMA DE PAGO],"TARJETA",TABLA_CIERRES[Fecha],Tabla5[[#This Row],[FECHA]])</f>
        <v>2800</v>
      </c>
      <c r="F4" s="15">
        <f>SUMIFS(TABLA_CIERRES[PRETIO TOTAL],TABLA_CIERRES[FORMA DE PAGO],"TRANSFERENCIA",TABLA_CIERRES[Fecha],Tabla5[[#This Row],[FECHA]])</f>
        <v>0</v>
      </c>
      <c r="G4" s="10">
        <v>100</v>
      </c>
      <c r="H4" s="10">
        <f>(Tabla5[[#This Row],[EFECTIVO]]+Tabla5[[#This Row],[TARJETA]]+Tabla5[[#This Row],[TRANSFERENCIA]])-Tabla5[[#This Row],[GASTO]]</f>
        <v>10000</v>
      </c>
      <c r="J4" s="32">
        <f>SUM(Tabla5[GANACIA])</f>
        <v>56150</v>
      </c>
    </row>
    <row r="5" spans="2:10" x14ac:dyDescent="0.25">
      <c r="C5" s="23">
        <v>44966</v>
      </c>
      <c r="D5" s="10">
        <f>SUMIFS(TABLA_CIERRES[PRETIO TOTAL],TABLA_CIERRES[FORMA DE PAGO],"Efectivo",TABLA_CIERRES[Fecha],Tabla5[[#This Row],[FECHA]])</f>
        <v>6600</v>
      </c>
      <c r="E5" s="10">
        <f>SUMIFS(TABLA_CIERRES[PRETIO TOTAL],TABLA_CIERRES[FORMA DE PAGO],"TARJETA",TABLA_CIERRES[Fecha],Tabla5[[#This Row],[FECHA]])</f>
        <v>1800</v>
      </c>
      <c r="F5" s="15">
        <f>SUMIFS(TABLA_CIERRES[PRETIO TOTAL],TABLA_CIERRES[FORMA DE PAGO],"TRANSFERENCIA",TABLA_CIERRES[Fecha],Tabla5[[#This Row],[FECHA]])</f>
        <v>0</v>
      </c>
      <c r="G5" s="10">
        <v>2750</v>
      </c>
      <c r="H5" s="10">
        <f>(Tabla5[[#This Row],[EFECTIVO]]+Tabla5[[#This Row],[TARJETA]]+Tabla5[[#This Row],[TRANSFERENCIA]])-Tabla5[[#This Row],[GASTO]]</f>
        <v>5650</v>
      </c>
      <c r="J5" s="32"/>
    </row>
    <row r="6" spans="2:10" x14ac:dyDescent="0.25">
      <c r="C6" s="23">
        <v>44965</v>
      </c>
      <c r="D6" s="10">
        <f>SUMIFS(TABLA_CIERRES[PRETIO TOTAL],TABLA_CIERRES[FORMA DE PAGO],"Efectivo",TABLA_CIERRES[Fecha],Tabla5[[#This Row],[FECHA]])</f>
        <v>4300</v>
      </c>
      <c r="E6" s="10">
        <f>SUMIFS(TABLA_CIERRES[PRETIO TOTAL],TABLA_CIERRES[FORMA DE PAGO],"TARJETA",TABLA_CIERRES[Fecha],Tabla5[[#This Row],[FECHA]])</f>
        <v>5500</v>
      </c>
      <c r="F6" s="15">
        <f>SUMIFS(TABLA_CIERRES[PRETIO TOTAL],TABLA_CIERRES[FORMA DE PAGO],"TRANSFERENCIA",TABLA_CIERRES[Fecha],Tabla5[[#This Row],[FECHA]])</f>
        <v>0</v>
      </c>
      <c r="G6" s="10">
        <v>4400</v>
      </c>
      <c r="H6" s="10">
        <f>(Tabla5[[#This Row],[EFECTIVO]]+Tabla5[[#This Row],[TARJETA]]+Tabla5[[#This Row],[TRANSFERENCIA]])-Tabla5[[#This Row],[GASTO]]</f>
        <v>5400</v>
      </c>
      <c r="J6" s="32"/>
    </row>
    <row r="7" spans="2:10" x14ac:dyDescent="0.25">
      <c r="C7" s="23">
        <v>44964</v>
      </c>
      <c r="D7" s="10">
        <f>SUMIFS(TABLA_CIERRES[PRETIO TOTAL],TABLA_CIERRES[FORMA DE PAGO],"Efectivo",TABLA_CIERRES[Fecha],Tabla5[[#This Row],[FECHA]])</f>
        <v>6300</v>
      </c>
      <c r="E7" s="10">
        <f>SUMIFS(TABLA_CIERRES[PRETIO TOTAL],TABLA_CIERRES[FORMA DE PAGO],"TARJETA",TABLA_CIERRES[Fecha],Tabla5[[#This Row],[FECHA]])</f>
        <v>3000</v>
      </c>
      <c r="F7" s="15">
        <f>SUMIFS(TABLA_CIERRES[PRETIO TOTAL],TABLA_CIERRES[FORMA DE PAGO],"TRANSFERENCIA",TABLA_CIERRES[Fecha],Tabla5[[#This Row],[FECHA]])</f>
        <v>2200</v>
      </c>
      <c r="G7" s="10">
        <v>5200</v>
      </c>
      <c r="H7" s="10">
        <f>(Tabla5[[#This Row],[EFECTIVO]]+Tabla5[[#This Row],[TARJETA]]+Tabla5[[#This Row],[TRANSFERENCIA]])-Tabla5[[#This Row],[GASTO]]</f>
        <v>6300</v>
      </c>
      <c r="J7" s="32"/>
    </row>
    <row r="8" spans="2:10" x14ac:dyDescent="0.25">
      <c r="C8" s="23">
        <v>44960</v>
      </c>
      <c r="D8" s="10">
        <f>SUMIFS(TABLA_CIERRES[PRETIO TOTAL],TABLA_CIERRES[FORMA DE PAGO],"Efectivo",TABLA_CIERRES[Fecha],Tabla5[[#This Row],[FECHA]])</f>
        <v>26500</v>
      </c>
      <c r="E8" s="10">
        <f>SUMIFS(TABLA_CIERRES[PRETIO TOTAL],TABLA_CIERRES[FORMA DE PAGO],"TARJETA",TABLA_CIERRES[Fecha],Tabla5[[#This Row],[FECHA]])</f>
        <v>3200</v>
      </c>
      <c r="F8" s="15">
        <f>SUMIFS(TABLA_CIERRES[PRETIO TOTAL],TABLA_CIERRES[FORMA DE PAGO],"TRANSFERENCIA",TABLA_CIERRES[Fecha],Tabla5[[#This Row],[FECHA]])</f>
        <v>400</v>
      </c>
      <c r="G8" s="10">
        <v>12500</v>
      </c>
      <c r="H8" s="10">
        <f>(Tabla5[[#This Row],[EFECTIVO]]+Tabla5[[#This Row],[TARJETA]]+Tabla5[[#This Row],[TRANSFERENCIA]])-Tabla5[[#This Row],[GASTO]]</f>
        <v>17600</v>
      </c>
    </row>
    <row r="9" spans="2:10" x14ac:dyDescent="0.25">
      <c r="C9" s="23">
        <v>44959</v>
      </c>
      <c r="D9" s="10">
        <f>SUMIFS(TABLA_CIERRES[PRETIO TOTAL],TABLA_CIERRES[FORMA DE PAGO],"Efectivo",TABLA_CIERRES[Fecha],Tabla5[[#This Row],[FECHA]])</f>
        <v>7900</v>
      </c>
      <c r="E9" s="10">
        <f>SUMIFS(TABLA_CIERRES[PRETIO TOTAL],TABLA_CIERRES[FORMA DE PAGO],"TARJETA",TABLA_CIERRES[Fecha],Tabla5[[#This Row],[FECHA]])</f>
        <v>0</v>
      </c>
      <c r="F9" s="15">
        <f>SUMIFS(TABLA_CIERRES[PRETIO TOTAL],TABLA_CIERRES[FORMA DE PAGO],"TRANSFERENCIA",TABLA_CIERRES[Fecha],Tabla5[[#This Row],[FECHA]])</f>
        <v>0</v>
      </c>
      <c r="G9" s="10">
        <v>2800</v>
      </c>
      <c r="H9" s="10">
        <f>(Tabla5[[#This Row],[EFECTIVO]]+Tabla5[[#This Row],[TARJETA]]+Tabla5[[#This Row],[TRANSFERENCIA]])-Tabla5[[#This Row],[GASTO]]</f>
        <v>5100</v>
      </c>
    </row>
    <row r="10" spans="2:10" x14ac:dyDescent="0.25">
      <c r="C10" s="23">
        <v>44958</v>
      </c>
      <c r="D10" s="10">
        <f>SUMIFS(TABLA_CIERRES[PRETIO TOTAL],TABLA_CIERRES[FORMA DE PAGO],"Efectivo",TABLA_CIERRES[Fecha],Tabla5[[#This Row],[FECHA]])</f>
        <v>6400</v>
      </c>
      <c r="E10" s="10">
        <f>SUMIFS(TABLA_CIERRES[PRETIO TOTAL],TABLA_CIERRES[FORMA DE PAGO],"TARJETA",TABLA_CIERRES[Fecha],Tabla5[[#This Row],[FECHA]])</f>
        <v>5200</v>
      </c>
      <c r="F10" s="15">
        <f>SUMIFS(TABLA_CIERRES[PRETIO TOTAL],TABLA_CIERRES[FORMA DE PAGO],"TRANSFERENCIA",TABLA_CIERRES[Fecha],Tabla5[[#This Row],[FECHA]])</f>
        <v>0</v>
      </c>
      <c r="G10" s="10">
        <v>5500</v>
      </c>
      <c r="H10" s="10">
        <f>(Tabla5[[#This Row],[EFECTIVO]]+Tabla5[[#This Row],[TARJETA]]+Tabla5[[#This Row],[TRANSFERENCIA]])-Tabla5[[#This Row],[GASTO]]</f>
        <v>6100</v>
      </c>
    </row>
  </sheetData>
  <mergeCells count="1">
    <mergeCell ref="C1:H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CIERRE</vt:lpstr>
      <vt:lpstr>PRODUCTOS</vt:lpstr>
      <vt:lpstr>VENTAS</vt:lpstr>
      <vt:lpstr>TOTAL</vt:lpstr>
      <vt:lpstr>ESTADISTICAS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Base de datos</dc:creator>
  <cp:lastModifiedBy>Usuario</cp:lastModifiedBy>
  <dcterms:created xsi:type="dcterms:W3CDTF">2014-11-13T17:53:44Z</dcterms:created>
  <dcterms:modified xsi:type="dcterms:W3CDTF">2023-02-11T16:33:50Z</dcterms:modified>
</cp:coreProperties>
</file>