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0A846B8C-7421-4ECD-BBE7-3743E71FB506}" xr6:coauthVersionLast="47" xr6:coauthVersionMax="47" xr10:uidLastSave="{00000000-0000-0000-0000-000000000000}"/>
  <bookViews>
    <workbookView xWindow="735" yWindow="735" windowWidth="15315" windowHeight="7785" activeTab="1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5" l="1"/>
  <c r="H5" i="5" s="1"/>
  <c r="E5" i="5"/>
  <c r="F5" i="5"/>
  <c r="D4" i="5"/>
  <c r="E4" i="5"/>
  <c r="F4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H3" i="2"/>
  <c r="J3" i="2"/>
  <c r="H8" i="5" l="1"/>
  <c r="H9" i="5"/>
  <c r="H6" i="5"/>
  <c r="H4" i="5"/>
  <c r="H7" i="5"/>
  <c r="H10" i="5"/>
  <c r="H11" i="5"/>
  <c r="H4" i="2"/>
  <c r="J4" i="2"/>
  <c r="H5" i="2"/>
  <c r="J5" i="2"/>
  <c r="H6" i="2" l="1"/>
  <c r="J6" i="2"/>
  <c r="H435" i="2" l="1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H328" i="2" l="1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309" i="2" l="1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H266" i="2" l="1"/>
  <c r="J266" i="2"/>
  <c r="H265" i="2"/>
  <c r="J265" i="2"/>
  <c r="J264" i="2" l="1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H242" i="2" l="1"/>
  <c r="H241" i="2" l="1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<sst xmlns="http://schemas.openxmlformats.org/spreadsheetml/2006/main" count="1425" uniqueCount="473">
  <si>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</si>
  <si>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</si>
  <si>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</si>
  <si>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</si>
  <si>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</si>
  <si>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</si>
  <si>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</si>
  <si>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</si>
  <si>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</si>
  <si>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</si>
  <si>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</si>
  <si>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</si>
  <si>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</si>
  <si>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</si>
  <si>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</si>
  <si>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</si>
  <si>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</si>
  <si>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</si>
  <si>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</si>
  <si>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</si>
  <si>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</si>
  <si>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</si>
  <si>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</si>
  <si>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</si>
  <si>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</si>
  <si>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</si>
  <si>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</si>
  <si>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</si>
  <si>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</si>
  <si>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</si>
  <si>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</si>
  <si>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</si>
  <si>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</si>
  <si>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</si>
  <si>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</si>
  <si>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</si>
  <si>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</si>
  <si>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</si>
  <si>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</si>
  <si>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</si>
  <si>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</si>
  <si>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</si>
  <si>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</si>
  <si>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</si>
  <si>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</si>
  <si>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</si>
  <si>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</si>
  <si>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</si>
  <si>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</si>
  <si>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</si>
  <si>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</si>
  <si>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</si>
  <si>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</si>
  <si>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</si>
  <si>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</si>
  <si>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</si>
  <si>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</si>
  <si>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</si>
  <si>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</si>
  <si>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</si>
  <si>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</si>
  <si>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</si>
  <si>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</si>
  <si>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</si>
  <si>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</si>
  <si>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</si>
  <si>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</si>
  <si>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</si>
  <si>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</si>
  <si>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</si>
  <si>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</si>
  <si>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</si>
  <si>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</si>
  <si>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</si>
  <si>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</si>
  <si>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</si>
  <si>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</si>
  <si>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</si>
  <si>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</si>
  <si>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</si>
  <si>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</si>
  <si>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</si>
  <si>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</si>
  <si>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</si>
  <si>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</si>
  <si>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</si>
  <si>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</si>
  <si>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</si>
  <si>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</si>
  <si>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</si>
  <si>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</si>
  <si>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</si>
  <si>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</si>
  <si>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</si>
  <si>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</si>
  <si>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</si>
  <si>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</si>
  <si>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</si>
  <si>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</si>
  <si>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</si>
  <si>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</si>
  <si>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</si>
  <si>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</si>
  <si>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</si>
  <si>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</si>
  <si>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</si>
  <si>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</si>
  <si>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</si>
  <si>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</si>
  <si>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</si>
  <si>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</si>
  <si>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</si>
  <si>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</si>
  <si>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</si>
  <si>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</si>
  <si>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</si>
  <si>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</si>
  <si>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</si>
  <si>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</si>
  <si>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</si>
  <si>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</si>
  <si>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</si>
  <si>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</si>
  <si>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</si>
  <si>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</si>
  <si>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</si>
  <si>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</si>
  <si>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</si>
  <si>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</si>
  <si>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</si>
  <si>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</si>
  <si>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</si>
  <si>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</si>
  <si>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</si>
  <si>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</si>
  <si>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</si>
  <si>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</si>
  <si>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</si>
  <si>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</si>
  <si>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</si>
  <si>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</si>
  <si>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</si>
  <si>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</si>
  <si>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</si>
  <si>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</si>
  <si>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</si>
  <si>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</si>
  <si>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</si>
  <si>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</si>
  <si>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</si>
  <si>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</si>
  <si>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</si>
  <si>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</si>
  <si>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</si>
  <si>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</si>
  <si>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</si>
  <si>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</si>
  <si>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</si>
  <si>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</si>
  <si>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</si>
  <si>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</si>
  <si>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</si>
  <si>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</si>
  <si>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</si>
  <si>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</si>
  <si>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</si>
  <si>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</si>
  <si>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</si>
  <si>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</si>
  <si>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</si>
  <si>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</si>
  <si>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</si>
  <si>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</si>
  <si>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</si>
  <si>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</si>
  <si>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</si>
  <si>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</si>
  <si>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</si>
  <si>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</si>
  <si>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</si>
  <si>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</si>
  <si>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</si>
  <si>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</si>
  <si>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</si>
  <si>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</si>
  <si>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</si>
  <si>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</si>
  <si>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</si>
  <si>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</si>
  <si>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</si>
  <si>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</si>
  <si>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</si>
  <si>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</si>
  <si>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</si>
  <si>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</si>
  <si>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</si>
  <si>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</si>
  <si>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</si>
  <si>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</si>
  <si>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</si>
  <si>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</si>
  <si>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</si>
  <si>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</si>
  <si>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</si>
  <si>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</si>
  <si>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</si>
  <si>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</si>
  <si>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</si>
  <si>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</si>
  <si>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</si>
  <si>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</si>
  <si>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</si>
  <si>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</si>
  <si>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</si>
  <si>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</si>
  <si>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</si>
  <si>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</si>
  <si>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</si>
  <si>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</si>
  <si>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</si>
  <si>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</si>
  <si>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</si>
  <si>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</si>
  <si>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</si>
  <si>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</si>
  <si>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</si>
  <si>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</si>
  <si>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</si>
  <si>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</si>
  <si>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</si>
  <si>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</si>
  <si>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</si>
  <si>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</si>
  <si>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</si>
  <si>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</si>
  <si>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</si>
  <si>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</si>
  <si>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</si>
  <si>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</si>
  <si>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</si>
  <si>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</si>
  <si>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</si>
  <si>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</si>
  <si>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</si>
  <si>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</si>
  <si>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</si>
  <si>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</si>
  <si>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</si>
  <si>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</si>
  <si>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</si>
  <si>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</si>
  <si>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</si>
  <si>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</si>
  <si>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</si>
  <si>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</si>
  <si>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</si>
  <si>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</si>
  <si>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</si>
  <si>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</si>
  <si>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</si>
  <si>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</si>
  <si>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</si>
  <si>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</si>
  <si>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</si>
  <si>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</si>
  <si>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</si>
  <si>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</si>
  <si>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</si>
  <si>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</si>
  <si>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</si>
  <si>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</si>
  <si>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</si>
  <si>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</si>
  <si>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</si>
  <si>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</si>
  <si>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</si>
  <si>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</si>
  <si>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</si>
  <si>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</si>
  <si>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</si>
  <si>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</si>
  <si>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</si>
  <si>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</si>
  <si>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</si>
  <si>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</si>
  <si>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</si>
  <si>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</si>
  <si>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</si>
  <si>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</si>
  <si>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</si>
  <si>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</si>
  <si>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</si>
  <si>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</si>
  <si>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</si>
  <si>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</si>
  <si>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</si>
  <si>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</si>
  <si>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</si>
  <si>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</si>
  <si>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</si>
  <si>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</si>
  <si>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</si>
  <si>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</si>
  <si>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</si>
  <si>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</si>
  <si>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</si>
  <si>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</si>
  <si>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</si>
  <si>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</si>
  <si>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</si>
  <si>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</si>
  <si>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</si>
  <si>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</si>
  <si>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</si>
  <si>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</si>
  <si>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</si>
  <si>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</si>
  <si>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</si>
  <si>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</si>
  <si>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</si>
  <si>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</si>
  <si>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</si>
  <si>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</si>
  <si>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</si>
  <si>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</si>
  <si>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</si>
  <si>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</si>
  <si>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</si>
  <si>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</si>
  <si>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</si>
  <si>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</si>
  <si>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</si>
  <si>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</si>
  <si>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</si>
  <si>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</si>
  <si>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</si>
  <si>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</si>
  <si>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</si>
  <si>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</si>
  <si>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</si>
  <si>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</si>
  <si>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</si>
  <si>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</si>
  <si>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</si>
  <si>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</si>
  <si>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</si>
  <si>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</si>
  <si>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</si>
  <si>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</si>
  <si>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</si>
  <si>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</si>
  <si>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</si>
  <si>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</si>
  <si>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</si>
  <si>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</si>
  <si>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</si>
  <si>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</si>
  <si>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</si>
  <si>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</si>
  <si>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</si>
  <si>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</si>
  <si>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</si>
  <si>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</si>
  <si>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</si>
  <si>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</si>
  <si>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</si>
  <si>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</si>
  <si>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</si>
  <si>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</si>
  <si>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</si>
  <si>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</si>
  <si>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</si>
  <si>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</si>
  <si>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</si>
  <si>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</si>
  <si>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</si>
  <si>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</si>
  <si>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</si>
  <si>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</si>
  <si>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</si>
  <si>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</si>
  <si>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</si>
  <si>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</si>
  <si>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</si>
  <si>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</si>
  <si>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</si>
  <si>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</si>
  <si>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</si>
  <si>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</si>
  <si>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</si>
  <si>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</si>
  <si>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</si>
  <si>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</si>
  <si>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</si>
  <si>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</si>
  <si>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</si>
  <si>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</si>
  <si>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</si>
  <si>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</si>
  <si>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</si>
  <si>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</si>
  <si>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</si>
  <si>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</si>
  <si>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</si>
  <si>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</si>
  <si>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</si>
  <si>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</si>
  <si>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</si>
  <si>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</si>
  <si>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</si>
  <si>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</si>
  <si>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</si>
  <si>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</si>
  <si>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</si>
  <si>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</si>
  <si>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</si>
  <si>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</si>
  <si>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</si>
  <si>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</si>
  <si>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</si>
  <si>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</si>
  <si>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</si>
  <si>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</si>
  <si>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</si>
  <si>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</si>
  <si>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</si>
  <si>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</si>
  <si>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</si>
  <si>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</si>
  <si>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</si>
  <si>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</si>
  <si>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</si>
  <si>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</si>
  <si>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</si>
  <si>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</si>
  <si>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</si>
  <si>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</si>
  <si>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</si>
  <si>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</si>
  <si>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</si>
  <si>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</si>
  <si>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</si>
  <si>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</si>
  <si>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</si>
  <si>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</si>
  <si>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</si>
  <si>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</si>
  <si>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</si>
  <si>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</si>
  <si>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</si>
  <si>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</si>
  <si>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</si>
  <si>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</si>
  <si>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</si>
  <si>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</si>
  <si>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</si>
  <si>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</si>
  <si>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</si>
  <si>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</si>
  <si>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</si>
  <si>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</si>
  <si>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</si>
  <si>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</si>
  <si>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</si>
  <si>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</si>
  <si>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</si>
  <si>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</si>
  <si>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</si>
  <si>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pendrive 32</t>
  </si>
  <si>
    <t>J1 ACE REFORZADAs</t>
  </si>
  <si>
    <t>SILICONA CASE A10</t>
  </si>
  <si>
    <t>MEMORIA SD 32</t>
  </si>
  <si>
    <t>PEN DRIVE 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</si>
</sst>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" insertRow="1" totalsRowShown="0" dataDxfId="30">
  <autoFilter ref="A1:I2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10" dataDxfId="9">
  <autoFilter ref="J3:J4" xr:uid="{00000000-0009-0000-0100-000006000000}"/>
  <tableColumns count="1">
    <tableColumn id="1" xr3:uid="{00000000-0010-0000-0500-000001000000}" name="TOTAL DE GANANCIAS " dataDxfId="8">
      <calculatedColumnFormula>SUM(#REF!)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1" totalsRowShown="0" headerRowDxfId="7" dataDxfId="6">
  <autoFilter ref="C3:H11" xr:uid="{00000000-0009-0000-0100-000005000000}"/>
  <tableColumns count="6">
    <tableColumn id="1" xr3:uid="{00000000-0010-0000-0400-000001000000}" name="FECHA" dataDxfId="5"/>
    <tableColumn id="3" xr3:uid="{00000000-0010-0000-0400-000003000000}" name="EFECTIVO" dataDxfId="4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3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2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1"/>
    <tableColumn id="2" xr3:uid="{00000000-0010-0000-0400-000002000000}" name="GANACIA" dataDxfId="0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1</v>
      </c>
      <c r="B1" s="13">
        <f>MAX(Tabla2[Nro])+1</f>
        <v>462</v>
      </c>
      <c r="C1" s="24">
        <f ca="1">TODAY()</f>
        <v>44973</v>
      </c>
    </row>
    <row r="5" spans="1:5" x14ac:dyDescent="0.25">
      <c r="E5" s="1"/>
    </row>
  </sheetData>
  <sheetProtection algorithmName="SHA-512" hashValue="vTUdHNDUUzaYAOt+E5UsY2d3pTt4d/tLoeqNdN/FebFpLRlgGD7/R8FuRGSApnwg9u+51xkG5MZUpFKLWaXYxg==" saltValue="jX3qjnuNG0knEPunRke87g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tabSelected="1" zoomScale="82" zoomScaleNormal="82" workbookViewId="0">
      <pane ySplit="1" topLeftCell="A2" activePane="bottomLeft" state="frozen"/>
      <selection pane="bottomLeft" activeCell="E6" sqref="E6"/>
    </sheetView>
  </sheetViews>
  <sheetFormatPr baseColWidth="10" defaultRowHeight="15" x14ac:dyDescent="0.25"/>
  <cols>
    <col min="1" max="1" width="9.85546875" bestFit="1" customWidth="1"/>
    <col min="2" max="2" width="13.85546875" style="3" bestFit="1" customWidth="1"/>
    <col min="3" max="3" width="12.5703125" style="3" bestFit="1" customWidth="1"/>
    <col min="4" max="4" width="16.85546875" style="3" bestFit="1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9" style="29" bestFit="1" customWidth="1"/>
    <col min="10" max="10" width="17.8554687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18" t="s">
        <v>470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18" t="s">
        <v>471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18" t="s">
        <v>472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468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D16" sqref="D16"/>
    </sheetView>
  </sheetViews>
  <sheetFormatPr baseColWidth="10" defaultRowHeight="15" x14ac:dyDescent="0.25"/>
  <cols>
    <col min="1" max="1" width="8.140625" style="4" bestFit="1" customWidth="1"/>
    <col min="2" max="2" width="10.855468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/>
      <c r="B2" s="11"/>
      <c r="C2" s="5"/>
      <c r="D2" s="5"/>
      <c r="E2" s="8"/>
      <c r="F2" s="20"/>
      <c r="G2" s="33"/>
      <c r="H2" s="33"/>
      <c r="I2" s="8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zoomScale="98" zoomScaleNormal="98" workbookViewId="0">
      <selection activeCell="E7" sqref="E7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469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sheetProtection algorithmName="SHA-512" hashValue="Ze0XIUuWp62+AK06dDHxE7FTQgHQ2ckrZb1ssy9WqFQ3TVjDiYGOHLJFtdweR6hyIA4/vY1d6h3VU+zdzM3IwQ==" saltValue="pJ8w0KJHodE5f3KcqIbKIg==" spinCount="100000" sheet="1" objects="1" scenarios="1"/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28"/>
  <sheetViews>
    <sheetView workbookViewId="0">
      <selection activeCell="C11" sqref="C11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44973</v>
      </c>
      <c r="D5" s="10">
        <f>SUMIFS(TABLA_CIERRES[PRETIO TOTAL],TABLA_CIERRES[FORMA DE PAGO],"Efectivo",TABLA_CIERRES[Fecha],Tabla5[[#This Row],[FECHA]])</f>
        <v>0</v>
      </c>
      <c r="E5" s="10">
        <f>SUMIFS(TABLA_CIERRES[PRETIO TOTAL],TABLA_CIERRES[FORMA DE PAGO],"TARJETA",TABLA_CIERRES[Fecha],Tabla5[[#This Row],[FECHA]])</f>
        <v>0</v>
      </c>
      <c r="F5" s="15">
        <f>SUMIFS(TABLA_CIERRES[PRETIO TOTAL],TABLA_CIERRES[FORMA DE PAGO],"TRANSFERENCIA",TABLA_CIERRES[Fecha],Tabla5[[#This Row],[FECHA]])</f>
        <v>0</v>
      </c>
      <c r="G5" s="10"/>
      <c r="H5" s="10">
        <f>(Tabla5[[#This Row],[EFECTIVO]]+Tabla5[[#This Row],[TARJETA]]+Tabla5[[#This Row],[TRANSFERENCIA]])-Tabla5[[#This Row],[GASTO]]</f>
        <v>0</v>
      </c>
      <c r="J5" s="32"/>
    </row>
    <row r="6" spans="2:10" x14ac:dyDescent="0.25">
      <c r="C6" s="23">
        <v>44966</v>
      </c>
      <c r="D6" s="10">
        <f>SUMIFS(TABLA_CIERRES[PRETIO TOTAL],TABLA_CIERRES[FORMA DE PAGO],"Efectivo",TABLA_CIERRES[Fecha],Tabla5[[#This Row],[FECHA]])</f>
        <v>6600</v>
      </c>
      <c r="E6" s="10">
        <f>SUMIFS(TABLA_CIERRES[PRETIO TOTAL],TABLA_CIERRES[FORMA DE PAGO],"TARJETA",TABLA_CIERRES[Fecha],Tabla5[[#This Row],[FECHA]])</f>
        <v>1800</v>
      </c>
      <c r="F6" s="15">
        <f>SUMIFS(TABLA_CIERRES[PRETIO TOTAL],TABLA_CIERRES[FORMA DE PAGO],"TRANSFERENCIA",TABLA_CIERRES[Fecha],Tabla5[[#This Row],[FECHA]])</f>
        <v>0</v>
      </c>
      <c r="G6" s="10">
        <v>2750</v>
      </c>
      <c r="H6" s="10">
        <f>(Tabla5[[#This Row],[EFECTIVO]]+Tabla5[[#This Row],[TARJETA]]+Tabla5[[#This Row],[TRANSFERENCIA]])-Tabla5[[#This Row],[GASTO]]</f>
        <v>5650</v>
      </c>
      <c r="J6" s="32"/>
    </row>
    <row r="7" spans="2:10" x14ac:dyDescent="0.25">
      <c r="C7" s="23">
        <v>44965</v>
      </c>
      <c r="D7" s="10">
        <f>SUMIFS(TABLA_CIERRES[PRETIO TOTAL],TABLA_CIERRES[FORMA DE PAGO],"Efectivo",TABLA_CIERRES[Fecha],Tabla5[[#This Row],[FECHA]])</f>
        <v>4300</v>
      </c>
      <c r="E7" s="10">
        <f>SUMIFS(TABLA_CIERRES[PRETIO TOTAL],TABLA_CIERRES[FORMA DE PAGO],"TARJETA",TABLA_CIERRES[Fecha],Tabla5[[#This Row],[FECHA]])</f>
        <v>5500</v>
      </c>
      <c r="F7" s="15">
        <f>SUMIFS(TABLA_CIERRES[PRETIO TOTAL],TABLA_CIERRES[FORMA DE PAGO],"TRANSFERENCIA",TABLA_CIERRES[Fecha],Tabla5[[#This Row],[FECHA]])</f>
        <v>0</v>
      </c>
      <c r="G7" s="10">
        <v>4400</v>
      </c>
      <c r="H7" s="10">
        <f>(Tabla5[[#This Row],[EFECTIVO]]+Tabla5[[#This Row],[TARJETA]]+Tabla5[[#This Row],[TRANSFERENCIA]])-Tabla5[[#This Row],[GASTO]]</f>
        <v>5400</v>
      </c>
      <c r="J7" s="32"/>
    </row>
    <row r="8" spans="2:10" x14ac:dyDescent="0.25">
      <c r="C8" s="23">
        <v>44964</v>
      </c>
      <c r="D8" s="10">
        <f>SUMIFS(TABLA_CIERRES[PRETIO TOTAL],TABLA_CIERRES[FORMA DE PAGO],"Efectivo",TABLA_CIERRES[Fecha],Tabla5[[#This Row],[FECHA]])</f>
        <v>6300</v>
      </c>
      <c r="E8" s="10">
        <f>SUMIFS(TABLA_CIERRES[PRETIO TOTAL],TABLA_CIERRES[FORMA DE PAGO],"TARJETA",TABLA_CIERRES[Fecha],Tabla5[[#This Row],[FECHA]])</f>
        <v>3000</v>
      </c>
      <c r="F8" s="15">
        <f>SUMIFS(TABLA_CIERRES[PRETIO TOTAL],TABLA_CIERRES[FORMA DE PAGO],"TRANSFERENCIA",TABLA_CIERRES[Fecha],Tabla5[[#This Row],[FECHA]])</f>
        <v>2200</v>
      </c>
      <c r="G8" s="10">
        <v>5200</v>
      </c>
      <c r="H8" s="10">
        <f>(Tabla5[[#This Row],[EFECTIVO]]+Tabla5[[#This Row],[TARJETA]]+Tabla5[[#This Row],[TRANSFERENCIA]])-Tabla5[[#This Row],[GASTO]]</f>
        <v>6300</v>
      </c>
      <c r="J8" s="32"/>
    </row>
    <row r="9" spans="2:10" x14ac:dyDescent="0.25">
      <c r="C9" s="23">
        <v>44960</v>
      </c>
      <c r="D9" s="10">
        <f>SUMIFS(TABLA_CIERRES[PRETIO TOTAL],TABLA_CIERRES[FORMA DE PAGO],"Efectivo",TABLA_CIERRES[Fecha],Tabla5[[#This Row],[FECHA]])</f>
        <v>26500</v>
      </c>
      <c r="E9" s="10">
        <f>SUMIFS(TABLA_CIERRES[PRETIO TOTAL],TABLA_CIERRES[FORMA DE PAGO],"TARJETA",TABLA_CIERRES[Fecha],Tabla5[[#This Row],[FECHA]])</f>
        <v>3200</v>
      </c>
      <c r="F9" s="15">
        <f>SUMIFS(TABLA_CIERRES[PRETIO TOTAL],TABLA_CIERRES[FORMA DE PAGO],"TRANSFERENCIA",TABLA_CIERRES[Fecha],Tabla5[[#This Row],[FECHA]])</f>
        <v>400</v>
      </c>
      <c r="G9" s="10">
        <v>12500</v>
      </c>
      <c r="H9" s="10">
        <f>(Tabla5[[#This Row],[EFECTIVO]]+Tabla5[[#This Row],[TARJETA]]+Tabla5[[#This Row],[TRANSFERENCIA]])-Tabla5[[#This Row],[GASTO]]</f>
        <v>17600</v>
      </c>
      <c r="J9" s="32"/>
    </row>
    <row r="10" spans="2:10" x14ac:dyDescent="0.25">
      <c r="C10" s="23">
        <v>44959</v>
      </c>
      <c r="D10" s="10">
        <f>SUMIFS(TABLA_CIERRES[PRETIO TOTAL],TABLA_CIERRES[FORMA DE PAGO],"Efectivo",TABLA_CIERRES[Fecha],Tabla5[[#This Row],[FECHA]])</f>
        <v>7900</v>
      </c>
      <c r="E10" s="10">
        <f>SUMIFS(TABLA_CIERRES[PRETIO TOTAL],TABLA_CIERRES[FORMA DE PAGO],"TARJETA",TABLA_CIERRES[Fecha],Tabla5[[#This Row],[FECHA]])</f>
        <v>0</v>
      </c>
      <c r="F10" s="15">
        <f>SUMIFS(TABLA_CIERRES[PRETIO TOTAL],TABLA_CIERRES[FORMA DE PAGO],"TRANSFERENCIA",TABLA_CIERRES[Fecha],Tabla5[[#This Row],[FECHA]])</f>
        <v>0</v>
      </c>
      <c r="G10" s="10">
        <v>2800</v>
      </c>
      <c r="H10" s="10">
        <f>(Tabla5[[#This Row],[EFECTIVO]]+Tabla5[[#This Row],[TARJETA]]+Tabla5[[#This Row],[TRANSFERENCIA]])-Tabla5[[#This Row],[GASTO]]</f>
        <v>5100</v>
      </c>
      <c r="J10" s="32"/>
    </row>
    <row r="11" spans="2:10" x14ac:dyDescent="0.25">
      <c r="C11" s="23">
        <v>44958</v>
      </c>
      <c r="D11" s="10">
        <f>SUMIFS(TABLA_CIERRES[PRETIO TOTAL],TABLA_CIERRES[FORMA DE PAGO],"Efectivo",TABLA_CIERRES[Fecha],Tabla5[[#This Row],[FECHA]])</f>
        <v>6400</v>
      </c>
      <c r="E11" s="10">
        <f>SUMIFS(TABLA_CIERRES[PRETIO TOTAL],TABLA_CIERRES[FORMA DE PAGO],"TARJETA",TABLA_CIERRES[Fecha],Tabla5[[#This Row],[FECHA]])</f>
        <v>5200</v>
      </c>
      <c r="F11" s="15">
        <f>SUMIFS(TABLA_CIERRES[PRETIO TOTAL],TABLA_CIERRES[FORMA DE PAGO],"TRANSFERENCIA",TABLA_CIERRES[Fecha],Tabla5[[#This Row],[FECHA]])</f>
        <v>0</v>
      </c>
      <c r="G11" s="10">
        <v>5500</v>
      </c>
      <c r="H11" s="10">
        <f>(Tabla5[[#This Row],[EFECTIVO]]+Tabla5[[#This Row],[TARJETA]]+Tabla5[[#This Row],[TRANSFERENCIA]])-Tabla5[[#This Row],[GASTO]]</f>
        <v>6100</v>
      </c>
      <c r="J11" s="32"/>
    </row>
    <row r="12" spans="2:10" x14ac:dyDescent="0.25">
      <c r="J12" s="32"/>
    </row>
    <row r="13" spans="2:10" x14ac:dyDescent="0.25">
      <c r="J13" s="32"/>
    </row>
    <row r="14" spans="2:10" x14ac:dyDescent="0.25">
      <c r="J14" s="32"/>
    </row>
    <row r="15" spans="2:10" x14ac:dyDescent="0.25">
      <c r="J15" s="32"/>
    </row>
    <row r="16" spans="2:10" x14ac:dyDescent="0.25">
      <c r="J16" s="32"/>
    </row>
    <row r="17" spans="10:10" x14ac:dyDescent="0.25">
      <c r="J17" s="32"/>
    </row>
    <row r="18" spans="10:10" x14ac:dyDescent="0.25">
      <c r="J18" s="32"/>
    </row>
    <row r="19" spans="10:10" x14ac:dyDescent="0.25">
      <c r="J19" s="32"/>
    </row>
    <row r="20" spans="10:10" x14ac:dyDescent="0.25">
      <c r="J20" s="32"/>
    </row>
    <row r="21" spans="10:10" x14ac:dyDescent="0.25">
      <c r="J21" s="32"/>
    </row>
    <row r="22" spans="10:10" x14ac:dyDescent="0.25">
      <c r="J22" s="32"/>
    </row>
    <row r="23" spans="10:10" x14ac:dyDescent="0.25">
      <c r="J23" s="32"/>
    </row>
    <row r="24" spans="10:10" x14ac:dyDescent="0.25">
      <c r="J24" s="32"/>
    </row>
    <row r="25" spans="10:10" x14ac:dyDescent="0.25">
      <c r="J25" s="32"/>
    </row>
    <row r="26" spans="10:10" x14ac:dyDescent="0.25">
      <c r="J26" s="32"/>
    </row>
    <row r="27" spans="10:10" x14ac:dyDescent="0.25">
      <c r="J27" s="32"/>
    </row>
    <row r="28" spans="10:10" x14ac:dyDescent="0.25">
      <c r="J28" s="32"/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2023-02-17T02:19:52Z</dcterms:modified>
</cp:coreProperties>
</file>