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 codeName="{4D1C537B-E38A-612A-F078-A93A15B4B7F4}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El Mundo Del Celular - Gestion\"/>
    </mc:Choice>
  </mc:AlternateContent>
  <xr:revisionPtr revIDLastSave="0" documentId="13_ncr:1_{2183DA83-30FE-44DD-8EA1-083AB98CF61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ierre" sheetId="1" r:id="rId1"/>
    <sheet name="PRODUCTOS" sheetId="2" r:id="rId2"/>
    <sheet name="VENTAS" sheetId="3" r:id="rId3"/>
    <sheet name="TOTAL" sheetId="4" r:id="rId4"/>
    <sheet name="ESTADISTICAS" sheetId="5" r:id="rId5"/>
  </sheets>
  <functionGroups builtInGroupCount="19"/>
  <definedNames>
    <definedName name="_xlnm._FilterDatabase" localSheetId="0" hidden="1">Cierre!#REF!</definedName>
    <definedName name="_xlnm._FilterDatabase" localSheetId="1" hidden="1">PRODUCTOS!$B$1:$I$2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2" l="1"/>
  <c r="D5" i="5"/>
  <c r="E5" i="5"/>
  <c r="F5" i="5"/>
  <c r="D6" i="5"/>
  <c r="E6" i="5"/>
  <c r="F6" i="5"/>
  <c r="D4" i="5"/>
  <c r="E4" i="5"/>
  <c r="F4" i="5"/>
  <c r="A1" i="1"/>
  <c r="B1" i="1"/>
  <c r="H6" i="5" l="1"/>
  <c r="H5" i="5"/>
  <c r="H4" i="5"/>
</calcChain>
</file>

<file path=xl/sharedStrings.xml><?xml version="1.0" encoding="utf-8"?>
<sst xmlns="http://schemas.openxmlformats.org/spreadsheetml/2006/main" count="73" uniqueCount="35">
  <si>
    <t>DESCRIPCION</t>
  </si>
  <si>
    <t>P. UNITARIO</t>
  </si>
  <si>
    <t>FECHA</t>
  </si>
  <si>
    <t>CANTIDAD</t>
  </si>
  <si>
    <t>Codigo</t>
  </si>
  <si>
    <t>CATEGORIA</t>
  </si>
  <si>
    <t>COSTOS</t>
  </si>
  <si>
    <t>RESTANTE</t>
  </si>
  <si>
    <t>Nro</t>
  </si>
  <si>
    <t>CODIGO</t>
  </si>
  <si>
    <t>CABLES</t>
  </si>
  <si>
    <t>VIDRIOS</t>
  </si>
  <si>
    <t>Num</t>
  </si>
  <si>
    <t>Fecha</t>
  </si>
  <si>
    <t>Descripcion</t>
  </si>
  <si>
    <t>Cantidad</t>
  </si>
  <si>
    <t>Categoria</t>
  </si>
  <si>
    <t>Precio</t>
  </si>
  <si>
    <t>Total</t>
  </si>
  <si>
    <t>Forma de Pago</t>
  </si>
  <si>
    <t>EFECTIVO</t>
  </si>
  <si>
    <t>PRETIO TOTAL</t>
  </si>
  <si>
    <t>FORMA DE PAGO</t>
  </si>
  <si>
    <t>PRECIO UNITARIO</t>
  </si>
  <si>
    <t>ESTADISTICA POR FECHA</t>
  </si>
  <si>
    <t>GANACIA</t>
  </si>
  <si>
    <t>PAPAS</t>
  </si>
  <si>
    <t>usb 3.0 reforzadas v8</t>
  </si>
  <si>
    <t>TARJETA</t>
  </si>
  <si>
    <t>TRANSFERENCIA</t>
  </si>
  <si>
    <t>GASTO</t>
  </si>
  <si>
    <t>MUNDO</t>
  </si>
  <si>
    <t>algo</t>
  </si>
  <si>
    <t>25/10/2022</t>
  </si>
  <si>
    <t>27/10/2022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</si>
</sst>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\ #,##0;[Red]\-&quot;$&quot;\ #,##0"/>
    <numFmt numFmtId="164" formatCode="&quot;$&quot;#,##0_);[Red]\(&quot;$&quot;#,##0\)"/>
    <numFmt numFmtId="165" formatCode="&quot;$&quot;#,##0.00_);[Red]\(&quot;$&quot;#,##0.00\)"/>
    <numFmt numFmtId="166" formatCode="_-&quot;$&quot;* #,##0.00_-;\-&quot;$&quot;* #,##0.00_-;_-&quot;$&quot;* &quot;-&quot;??_-;_-@_-"/>
    <numFmt numFmtId="167" formatCode="_(&quot;$&quot;* #,##0.00_);_(&quot;$&quot;* \(#,##0.00\);_(&quot;$&quot;* &quot;-&quot;??_);_(@_)"/>
    <numFmt numFmtId="168" formatCode="&quot;$&quot;\ #,##0"/>
    <numFmt numFmtId="169" formatCode="m/d/yyyy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166" fontId="2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67" fontId="0" fillId="0" borderId="0" xfId="0" applyNumberFormat="1"/>
    <xf numFmtId="0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8" fontId="0" fillId="0" borderId="0" xfId="2" applyNumberFormat="1" applyFont="1" applyAlignment="1">
      <alignment horizontal="left"/>
    </xf>
    <xf numFmtId="1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0" xfId="0" applyNumberFormat="1"/>
    <xf numFmtId="168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" fontId="4" fillId="3" borderId="0" xfId="0" applyNumberFormat="1" applyFont="1" applyFill="1"/>
    <xf numFmtId="0" fontId="4" fillId="3" borderId="0" xfId="0" applyFont="1" applyFill="1" applyProtection="1">
      <protection hidden="1"/>
    </xf>
    <xf numFmtId="2" fontId="0" fillId="0" borderId="0" xfId="0" applyNumberFormat="1"/>
    <xf numFmtId="164" fontId="0" fillId="0" borderId="0" xfId="0" applyNumberFormat="1" applyAlignment="1">
      <alignment horizontal="center"/>
    </xf>
    <xf numFmtId="0" fontId="5" fillId="0" borderId="0" xfId="0" applyFont="1" applyFill="1"/>
    <xf numFmtId="6" fontId="0" fillId="0" borderId="0" xfId="0" applyNumberFormat="1" applyAlignment="1">
      <alignment horizontal="center"/>
    </xf>
    <xf numFmtId="0" fontId="6" fillId="0" borderId="0" xfId="0" applyNumberFormat="1" applyFont="1" applyFill="1" applyAlignment="1">
      <alignment horizontal="center" vertical="center"/>
    </xf>
    <xf numFmtId="168" fontId="6" fillId="0" borderId="0" xfId="2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8" fontId="7" fillId="2" borderId="0" xfId="2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39">
    <dxf>
      <numFmt numFmtId="168" formatCode="&quot;$&quot;\ #,##0"/>
      <alignment horizontal="center" vertical="bottom" textRotation="0" wrapText="0" indent="0" justifyLastLine="0" shrinkToFit="0" readingOrder="0"/>
    </dxf>
    <dxf>
      <numFmt numFmtId="168" formatCode="&quot;$&quot;\ #,##0"/>
      <alignment horizontal="center" vertical="bottom" textRotation="0" wrapText="0" indent="0" justifyLastLine="0" shrinkToFit="0" readingOrder="0"/>
    </dxf>
    <dxf>
      <numFmt numFmtId="10" formatCode="&quot;$&quot;\ #,##0;[Red]\-&quot;$&quot;\ #,##0"/>
      <alignment horizontal="center" vertical="bottom" textRotation="0" wrapText="0" indent="0" justifyLastLine="0" shrinkToFit="0" readingOrder="0"/>
    </dxf>
    <dxf>
      <numFmt numFmtId="168" formatCode="&quot;$&quot;\ #,##0"/>
      <alignment horizontal="center" vertical="bottom" textRotation="0" wrapText="0" indent="0" justifyLastLine="0" shrinkToFit="0" readingOrder="0"/>
    </dxf>
    <dxf>
      <numFmt numFmtId="168" formatCode="&quot;$&quot;\ #,##0"/>
      <alignment horizontal="center" vertical="bottom" textRotation="0" wrapText="0" indent="0" justifyLastLine="0" shrinkToFit="0" readingOrder="0"/>
    </dxf>
    <dxf>
      <numFmt numFmtId="16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$&quot;#,##0.00_);[Red]\(&quot;$&quot;#,##0.00\)"/>
      <alignment horizontal="center" vertical="bottom" textRotation="0" wrapText="0" indent="0" justifyLastLine="0" shrinkToFit="0" readingOrder="0"/>
    </dxf>
    <dxf>
      <numFmt numFmtId="165" formatCode="&quot;$&quot;#,##0.00_);[Red]\(&quot;$&quot;#,##0.00\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$&quot;#,##0.00_);[Red]\(&quot;$&quot;#,##0.00\)"/>
      <alignment horizontal="center" vertical="bottom" textRotation="0" wrapText="0" indent="0" justifyLastLine="0" shrinkToFit="0" readingOrder="0"/>
    </dxf>
    <dxf>
      <numFmt numFmtId="164" formatCode="&quot;$&quot;#,##0_);[Red]\(&quot;$&quot;#,##0\)"/>
      <alignment horizontal="center" vertical="bottom" textRotation="0" wrapText="0" indent="0" justifyLastLine="0" shrinkToFit="0" readingOrder="0"/>
    </dxf>
    <dxf>
      <numFmt numFmtId="164" formatCode="&quot;$&quot;#,##0_);[Red]\(&quot;$&quot;#,##0\)"/>
      <alignment horizontal="center" vertical="bottom" textRotation="0" wrapText="0" indent="0" justifyLastLine="0" shrinkToFit="0" readingOrder="0"/>
    </dxf>
    <dxf>
      <numFmt numFmtId="167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9" formatCode="m/d/yyyy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&quot;$&quot;\ #,##0"/>
      <alignment horizontal="center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m/d/yyyy"/>
      <alignment horizontal="center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6/relationships/vbaProject" Target="vbaProject.bin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F8BF78-C36C-4AB1-BA28-BAE5751E79D0}" name="Tabla2" displayName="Tabla2" ref="A1:I2" totalsRowShown="0" headerRowDxfId="38" dataDxfId="37">
  <autoFilter ref="A1:I2" xr:uid="{00000000-0009-0000-0000-000001000000}"/>
  <tableColumns count="9">
    <tableColumn id="12" xr3:uid="{AC071041-E2A9-4CEA-B43F-B98144A8A1F5}" name="Nro" dataDxfId="36"/>
    <tableColumn id="1" xr3:uid="{6B84CEDA-DC36-45B3-A3F0-F41C1620789A}" name="CODIGO" dataDxfId="35"/>
    <tableColumn id="6" xr3:uid="{AC2917B6-A43F-4606-A475-D3DAB2104887}" name="FECHA" dataDxfId="34"/>
    <tableColumn id="10" xr3:uid="{28F5ACAB-47F4-409E-939C-7ED0E54E1748}" name="CATEGORIA" dataDxfId="33"/>
    <tableColumn id="2" xr3:uid="{2785B6AF-F4EC-4497-88A6-A3CD3DA0FA0E}" name="DESCRIPCION" dataDxfId="32"/>
    <tableColumn id="7" xr3:uid="{62F8E1C1-95A9-4C46-96E8-A2A99572016F}" name="CANTIDAD" dataDxfId="31"/>
    <tableColumn id="8" xr3:uid="{C54F8B8C-A933-472E-8749-2D7884B95BE0}" name="COSTOS" dataDxfId="30"/>
    <tableColumn id="9" xr3:uid="{73A8FC78-C6DB-4B2E-8F1B-0D7134B90C57}" name="RESTANTE" dataDxfId="29"/>
    <tableColumn id="3" xr3:uid="{B144FC6D-AFCA-438D-9C11-FAE3DC497F76}" name="P. UNITARIO" dataDxfId="28" dataCellStyle="Mone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1C09FF-8843-46B7-A2F0-6BC8011F103B}" name="TABLA_VENTAS" displayName="TABLA_VENTAS" ref="A1:I2" insertRow="1" totalsRowShown="0" dataDxfId="27">
  <autoFilter ref="A1:I2" xr:uid="{5B1C09FF-8843-46B7-A2F0-6BC8011F103B}"/>
  <tableColumns count="9">
    <tableColumn id="1" xr3:uid="{31122387-3A16-4B44-B24B-4C112BEAA414}" name="Num" dataDxfId="26"/>
    <tableColumn id="2" xr3:uid="{92E632ED-8CC8-41FF-A5A9-932937E3314D}" name="Fecha" dataDxfId="25"/>
    <tableColumn id="3" xr3:uid="{DCECAA1E-5D78-441D-92E3-F2FCDD149301}" name="Codigo" dataDxfId="24"/>
    <tableColumn id="4" xr3:uid="{C483E31D-C60E-4C43-999B-2E576FADE23F}" name="Descripcion" dataDxfId="23"/>
    <tableColumn id="5" xr3:uid="{83433B84-87C8-4A4F-A380-06C67D73F0F1}" name="Cantidad" dataDxfId="22"/>
    <tableColumn id="6" xr3:uid="{26A42391-9BB3-4FB9-9407-5D77A4C77239}" name="Categoria" dataDxfId="21"/>
    <tableColumn id="7" xr3:uid="{83A9DFD0-7835-408A-95CF-0032CDFFB29F}" name="Precio" dataDxfId="20"/>
    <tableColumn id="8" xr3:uid="{6846500A-7108-45DA-8F97-0BC6C7E67597}" name="Total" dataDxfId="19"/>
    <tableColumn id="9" xr3:uid="{DF78DB88-BA0F-433A-B1FE-203BE15C8B2E}" name="Forma de Pago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8FB9C3-78C2-49D8-980D-A80E5966505A}" name="TABLA_CIERRES" displayName="TABLA_CIERRES" ref="A1:I13" totalsRowShown="0" dataDxfId="17">
  <autoFilter ref="A1:I13" xr:uid="{B58FB9C3-78C2-49D8-980D-A80E5966505A}"/>
  <tableColumns count="9">
    <tableColumn id="1" xr3:uid="{B1BEAFBD-17DA-415E-8E34-CCC355C27F48}" name="Num" dataDxfId="16"/>
    <tableColumn id="2" xr3:uid="{C2C3E29F-356D-49D9-BDED-0F73219F612B}" name="Fecha" dataDxfId="15"/>
    <tableColumn id="3" xr3:uid="{8C959440-3149-4733-A3FB-0FDFB12B14C7}" name="Codigo" dataDxfId="14"/>
    <tableColumn id="4" xr3:uid="{AD9E9F15-3218-438D-B44E-267AFA231B43}" name="DESCRIPCION" dataDxfId="13"/>
    <tableColumn id="5" xr3:uid="{5BB9F7C6-CDAD-4DE3-BBB2-694FA6954AF0}" name="CANTIDAD" dataDxfId="12"/>
    <tableColumn id="6" xr3:uid="{F51CE664-2320-48D4-BECD-9848F1D35679}" name="CATEGORIA" dataDxfId="11"/>
    <tableColumn id="7" xr3:uid="{05C1D068-4706-4BF9-AA42-31B12FA988C0}" name="PRECIO UNITARIO" dataDxfId="10"/>
    <tableColumn id="10" xr3:uid="{D471E10E-13F3-42A7-8791-24A9B1724F47}" name="PRETIO TOTAL" dataDxfId="9"/>
    <tableColumn id="8" xr3:uid="{57FA7468-DD35-4ACB-8BED-9866A6DC055E}" name="FORMA DE PAGO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32FE58-2B5F-42C8-BB9B-8732A9202812}" name="Tabla5" displayName="Tabla5" ref="C3:H6" totalsRowShown="0" headerRowDxfId="7" dataDxfId="6">
  <autoFilter ref="C3:H6" xr:uid="{C932FE58-2B5F-42C8-BB9B-8732A9202812}"/>
  <tableColumns count="6">
    <tableColumn id="1" xr3:uid="{75B80F89-0E22-4B25-929D-DB7DAA4405AA}" name="FECHA" dataDxfId="5"/>
    <tableColumn id="3" xr3:uid="{212592E0-C940-4B9E-93D4-9A21EFB6A1E6}" name="EFECTIVO" dataDxfId="4">
      <calculatedColumnFormula>SUMIFS(TABLA_CIERRES[PRETIO TOTAL],TABLA_CIERRES[FORMA DE PAGO],"Efectivo",TABLA_CIERRES[Fecha],Tabla5[[#This Row],[FECHA]])</calculatedColumnFormula>
    </tableColumn>
    <tableColumn id="4" xr3:uid="{83D97C20-415F-4881-9259-045D4B325C2C}" name="TARJETA" dataDxfId="3">
      <calculatedColumnFormula>SUMIFS(TABLA_CIERRES[PRETIO TOTAL],TABLA_CIERRES[FORMA DE PAGO],"TARJETA",TABLA_CIERRES[Fecha],Tabla5[[#This Row],[FECHA]])</calculatedColumnFormula>
    </tableColumn>
    <tableColumn id="5" xr3:uid="{D24C6EAE-4993-47CF-8BD1-1341B99F1B5D}" name="TRANSFERENCIA" dataDxfId="2">
      <calculatedColumnFormula>SUMIFS(TABLA_CIERRES[PRETIO TOTAL],TABLA_CIERRES[FORMA DE PAGO],"TRANSFERENCIA",TABLA_CIERRES[Fecha],Tabla5[[#This Row],[FECHA]])</calculatedColumnFormula>
    </tableColumn>
    <tableColumn id="6" xr3:uid="{2ADE3040-75CB-4FE8-B2F4-A35714F1976E}" name="GASTO" dataDxfId="1">
      <calculatedColumnFormula>SUMIFS(Tabla2[COSTOS],TABLA_CIERRES[DESCRIPCION],"PAPAS")</calculatedColumnFormula>
    </tableColumn>
    <tableColumn id="2" xr3:uid="{C20A4621-1EC1-4618-97CB-05BE73B67AEE}" name="GANACIA" dataDxfId="0">
      <calculatedColumnFormula>Tabla5[[#This Row],[EFECTIVO]]+Tabla5[[#This Row],[TARJETA]]+Tabla5[[#This Row],[TRANSFERENCIA]]-Tabla5[[#This Row],[GASTO]]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0000"/>
  </sheetPr>
  <dimension ref="A1:C1"/>
  <sheetViews>
    <sheetView workbookViewId="0">
      <selection activeCell="D6" sqref="D6"/>
    </sheetView>
  </sheetViews>
  <sheetFormatPr baseColWidth="10" defaultRowHeight="15" x14ac:dyDescent="0.25"/>
  <cols>
    <col min="1" max="2" width="11.85546875" bestFit="1" customWidth="1"/>
  </cols>
  <sheetData>
    <row r="1" spans="1:3" x14ac:dyDescent="0.25">
      <c r="A1" s="15">
        <f>MAX(VENTAS!A:A)+1</f>
        <v>1</v>
      </c>
      <c r="B1" s="16">
        <f>MAX(Tabla2[Nro])+1</f>
        <v>13</v>
      </c>
      <c r="C1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RODUCTOS">
    <tabColor rgb="FFFFC000"/>
  </sheetPr>
  <dimension ref="A1:I28"/>
  <sheetViews>
    <sheetView tabSelected="1" zoomScale="82" zoomScaleNormal="82" workbookViewId="0">
      <pane ySplit="1" topLeftCell="A2" activePane="bottomLeft" state="frozen"/>
      <selection pane="bottomLeft" activeCell="D8" sqref="D8"/>
    </sheetView>
  </sheetViews>
  <sheetFormatPr baseColWidth="10" defaultRowHeight="15" x14ac:dyDescent="0.25"/>
  <cols>
    <col min="2" max="4" width="28.42578125" style="3" customWidth="1"/>
    <col min="5" max="8" width="29.85546875" customWidth="1"/>
    <col min="9" max="9" width="15.5703125" style="8" customWidth="1"/>
    <col min="10" max="10" width="16.85546875" bestFit="1" customWidth="1"/>
    <col min="11" max="11" width="19.5703125" bestFit="1" customWidth="1"/>
    <col min="12" max="12" width="12" bestFit="1" customWidth="1"/>
    <col min="13" max="13" width="18.5703125" bestFit="1" customWidth="1"/>
  </cols>
  <sheetData>
    <row r="1" spans="1:9" s="30" customFormat="1" x14ac:dyDescent="0.25">
      <c r="A1" s="27" t="s">
        <v>8</v>
      </c>
      <c r="B1" s="28" t="s">
        <v>9</v>
      </c>
      <c r="C1" s="28" t="s">
        <v>2</v>
      </c>
      <c r="D1" s="28" t="s">
        <v>5</v>
      </c>
      <c r="E1" s="28" t="s">
        <v>0</v>
      </c>
      <c r="F1" s="28" t="s">
        <v>3</v>
      </c>
      <c r="G1" s="28" t="s">
        <v>6</v>
      </c>
      <c r="H1" s="28" t="s">
        <v>7</v>
      </c>
      <c r="I1" s="29" t="s">
        <v>1</v>
      </c>
    </row>
    <row r="2" spans="1:9" ht="14.25" customHeight="1" x14ac:dyDescent="0.25">
      <c r="A2" s="26">
        <v>12</v>
      </c>
      <c r="B2" s="24">
        <v>123</v>
      </c>
      <c r="C2" s="25">
        <v>0</v>
      </c>
      <c r="D2" s="24">
        <v>0</v>
      </c>
      <c r="E2" s="23">
        <v>0</v>
      </c>
      <c r="F2" s="23">
        <v>1</v>
      </c>
      <c r="G2" s="21">
        <v>0</v>
      </c>
      <c r="H2" s="21">
        <v>0</v>
      </c>
      <c r="I2" s="22">
        <v>0</v>
      </c>
    </row>
    <row r="6" spans="1:9" x14ac:dyDescent="0.25">
      <c r="H6" t="e">
        <f>SUMIFS(TABLA_CIERRES[CANTIDAD],Tabla2[CODIGO],)</f>
        <v>#VALUE!</v>
      </c>
    </row>
    <row r="11" spans="1:9" ht="15.75" customHeight="1" x14ac:dyDescent="0.25">
      <c r="F11" s="17"/>
    </row>
    <row r="12" spans="1:9" ht="15.75" customHeight="1" x14ac:dyDescent="0.25"/>
    <row r="13" spans="1:9" ht="15.75" customHeight="1" x14ac:dyDescent="0.25"/>
    <row r="14" spans="1:9" ht="15.75" customHeight="1" x14ac:dyDescent="0.25"/>
    <row r="15" spans="1:9" ht="15.75" customHeight="1" x14ac:dyDescent="0.25"/>
    <row r="16" spans="1: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VENTAS">
    <tabColor rgb="FF00B050"/>
  </sheetPr>
  <dimension ref="A1:I2"/>
  <sheetViews>
    <sheetView zoomScale="87" zoomScaleNormal="87" workbookViewId="0">
      <pane ySplit="1" topLeftCell="A2" activePane="bottomLeft" state="frozen"/>
      <selection pane="bottomLeft" activeCell="D20" sqref="D19:D20"/>
    </sheetView>
  </sheetViews>
  <sheetFormatPr baseColWidth="10" defaultRowHeight="15" x14ac:dyDescent="0.25"/>
  <cols>
    <col min="1" max="1" width="14.85546875" style="4" bestFit="1" customWidth="1"/>
    <col min="2" max="2" width="28.7109375" style="3" bestFit="1" customWidth="1"/>
    <col min="3" max="4" width="28.7109375" bestFit="1" customWidth="1"/>
    <col min="5" max="5" width="14.85546875" style="2" bestFit="1" customWidth="1"/>
    <col min="6" max="6" width="20.85546875" style="2" bestFit="1" customWidth="1"/>
    <col min="7" max="7" width="18.5703125" bestFit="1" customWidth="1"/>
    <col min="8" max="8" width="13.7109375" bestFit="1" customWidth="1"/>
    <col min="9" max="9" width="19.5703125" bestFit="1" customWidth="1"/>
  </cols>
  <sheetData>
    <row r="1" spans="1:9" x14ac:dyDescent="0.25">
      <c r="A1" s="1" t="s">
        <v>12</v>
      </c>
      <c r="B1" s="1" t="s">
        <v>13</v>
      </c>
      <c r="C1" t="s">
        <v>4</v>
      </c>
      <c r="D1" t="s">
        <v>14</v>
      </c>
      <c r="E1" s="2" t="s">
        <v>15</v>
      </c>
      <c r="F1" s="2" t="s">
        <v>16</v>
      </c>
      <c r="G1" t="s">
        <v>17</v>
      </c>
      <c r="H1" t="s">
        <v>18</v>
      </c>
      <c r="I1" t="s">
        <v>19</v>
      </c>
    </row>
    <row r="2" spans="1:9" x14ac:dyDescent="0.25">
      <c r="A2" s="9"/>
      <c r="B2" s="14"/>
      <c r="C2" s="5"/>
      <c r="D2" s="5"/>
      <c r="E2" s="11"/>
      <c r="F2" s="10"/>
      <c r="G2" s="18"/>
      <c r="H2" s="18"/>
      <c r="I2" s="7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01D6-927C-46CE-BDAF-51D0522F3DAB}">
  <sheetPr codeName="CIERRES">
    <tabColor rgb="FF002060"/>
  </sheetPr>
  <dimension ref="A1:K13"/>
  <sheetViews>
    <sheetView zoomScale="98" zoomScaleNormal="98" workbookViewId="0">
      <selection activeCell="C27" sqref="C27"/>
    </sheetView>
  </sheetViews>
  <sheetFormatPr baseColWidth="10" defaultRowHeight="15" x14ac:dyDescent="0.25"/>
  <cols>
    <col min="1" max="1" width="7.5703125" bestFit="1" customWidth="1"/>
    <col min="2" max="2" width="13.7109375" style="1" customWidth="1"/>
    <col min="3" max="3" width="12" customWidth="1"/>
    <col min="4" max="4" width="41.7109375" customWidth="1"/>
    <col min="5" max="5" width="12" customWidth="1"/>
    <col min="6" max="6" width="13.5703125" bestFit="1" customWidth="1"/>
    <col min="7" max="7" width="19.140625" bestFit="1" customWidth="1"/>
    <col min="8" max="8" width="15.5703125" bestFit="1" customWidth="1"/>
    <col min="9" max="9" width="18.5703125" bestFit="1" customWidth="1"/>
    <col min="11" max="11" width="19.28515625" customWidth="1"/>
  </cols>
  <sheetData>
    <row r="1" spans="1:11" x14ac:dyDescent="0.25">
      <c r="A1" t="s">
        <v>12</v>
      </c>
      <c r="B1" s="1" t="s">
        <v>13</v>
      </c>
      <c r="C1" t="s">
        <v>4</v>
      </c>
      <c r="D1" t="s">
        <v>0</v>
      </c>
      <c r="E1" t="s">
        <v>3</v>
      </c>
      <c r="F1" t="s">
        <v>5</v>
      </c>
      <c r="G1" t="s">
        <v>23</v>
      </c>
      <c r="H1" t="s">
        <v>21</v>
      </c>
      <c r="I1" t="s">
        <v>22</v>
      </c>
      <c r="K1" s="12"/>
    </row>
    <row r="2" spans="1:11" x14ac:dyDescent="0.25">
      <c r="A2" s="5">
        <v>1</v>
      </c>
      <c r="B2" s="6">
        <v>44859</v>
      </c>
      <c r="C2" s="5">
        <v>123</v>
      </c>
      <c r="D2" s="5" t="s">
        <v>32</v>
      </c>
      <c r="E2" s="5">
        <v>1</v>
      </c>
      <c r="F2" s="5" t="s">
        <v>11</v>
      </c>
      <c r="G2" s="5">
        <v>500</v>
      </c>
      <c r="H2" s="7">
        <v>500</v>
      </c>
      <c r="I2" s="7" t="s">
        <v>20</v>
      </c>
    </row>
    <row r="3" spans="1:11" x14ac:dyDescent="0.25">
      <c r="A3" s="5">
        <v>2</v>
      </c>
      <c r="B3" s="6">
        <v>44859</v>
      </c>
      <c r="C3" s="5">
        <v>456</v>
      </c>
      <c r="D3" s="5" t="s">
        <v>31</v>
      </c>
      <c r="E3" s="5">
        <v>1</v>
      </c>
      <c r="F3" s="5" t="s">
        <v>10</v>
      </c>
      <c r="G3" s="5">
        <v>500</v>
      </c>
      <c r="H3" s="7">
        <v>500</v>
      </c>
      <c r="I3" s="7" t="s">
        <v>20</v>
      </c>
    </row>
    <row r="4" spans="1:11" x14ac:dyDescent="0.25">
      <c r="A4" s="5">
        <v>3</v>
      </c>
      <c r="B4" s="6">
        <v>44859</v>
      </c>
      <c r="C4" s="5">
        <v>789</v>
      </c>
      <c r="D4" s="5" t="s">
        <v>27</v>
      </c>
      <c r="E4" s="5">
        <v>1</v>
      </c>
      <c r="F4" s="5" t="s">
        <v>10</v>
      </c>
      <c r="G4" s="5">
        <v>500</v>
      </c>
      <c r="H4" s="7">
        <v>500</v>
      </c>
      <c r="I4" s="7" t="s">
        <v>20</v>
      </c>
    </row>
    <row r="5" spans="1:11" x14ac:dyDescent="0.25">
      <c r="A5" s="5">
        <v>1</v>
      </c>
      <c r="B5" s="6">
        <v>44861</v>
      </c>
      <c r="C5" s="5">
        <v>123</v>
      </c>
      <c r="D5" s="5" t="s">
        <v>32</v>
      </c>
      <c r="E5" s="5">
        <v>1</v>
      </c>
      <c r="F5" s="5" t="s">
        <v>11</v>
      </c>
      <c r="G5" s="5">
        <v>500</v>
      </c>
      <c r="H5" s="7">
        <v>500</v>
      </c>
      <c r="I5" s="7" t="s">
        <v>20</v>
      </c>
    </row>
    <row r="6" spans="1:11" x14ac:dyDescent="0.25">
      <c r="A6" s="5">
        <v>2</v>
      </c>
      <c r="B6" s="6">
        <v>44861</v>
      </c>
      <c r="C6" s="5">
        <v>456</v>
      </c>
      <c r="D6" s="5" t="s">
        <v>31</v>
      </c>
      <c r="E6" s="5">
        <v>1</v>
      </c>
      <c r="F6" s="5" t="s">
        <v>10</v>
      </c>
      <c r="G6" s="5">
        <v>500</v>
      </c>
      <c r="H6" s="7">
        <v>500</v>
      </c>
      <c r="I6" s="7" t="s">
        <v>20</v>
      </c>
    </row>
    <row r="7" spans="1:11" x14ac:dyDescent="0.25">
      <c r="A7" s="5">
        <v>3</v>
      </c>
      <c r="B7" s="6">
        <v>44861</v>
      </c>
      <c r="C7" s="5">
        <v>789</v>
      </c>
      <c r="D7" s="5" t="s">
        <v>27</v>
      </c>
      <c r="E7" s="5">
        <v>1</v>
      </c>
      <c r="F7" s="5" t="s">
        <v>10</v>
      </c>
      <c r="G7" s="5">
        <v>500</v>
      </c>
      <c r="H7" s="7">
        <v>500</v>
      </c>
      <c r="I7" s="7" t="s">
        <v>20</v>
      </c>
    </row>
    <row r="8" spans="1:11" x14ac:dyDescent="0.25">
      <c r="A8" s="5">
        <v>1</v>
      </c>
      <c r="B8" s="6">
        <v>44861</v>
      </c>
      <c r="C8" s="5">
        <v>123</v>
      </c>
      <c r="D8" s="5" t="s">
        <v>32</v>
      </c>
      <c r="E8" s="5">
        <v>1</v>
      </c>
      <c r="F8" s="5" t="s">
        <v>11</v>
      </c>
      <c r="G8" s="5">
        <v>500</v>
      </c>
      <c r="H8" s="7">
        <v>500</v>
      </c>
      <c r="I8" s="7" t="s">
        <v>20</v>
      </c>
    </row>
    <row r="9" spans="1:11" x14ac:dyDescent="0.25">
      <c r="A9" s="5">
        <v>1</v>
      </c>
      <c r="B9" s="6">
        <v>44861</v>
      </c>
      <c r="C9" s="5">
        <v>123</v>
      </c>
      <c r="D9" s="5" t="s">
        <v>32</v>
      </c>
      <c r="E9" s="5">
        <v>1</v>
      </c>
      <c r="F9" s="5" t="s">
        <v>11</v>
      </c>
      <c r="G9" s="5">
        <v>500</v>
      </c>
      <c r="H9" s="7">
        <v>500</v>
      </c>
      <c r="I9" s="7" t="s">
        <v>20</v>
      </c>
    </row>
    <row r="10" spans="1:11" x14ac:dyDescent="0.25">
      <c r="A10" s="5">
        <v>2</v>
      </c>
      <c r="B10" s="6">
        <v>44861</v>
      </c>
      <c r="C10" s="5">
        <v>456</v>
      </c>
      <c r="D10" s="5" t="s">
        <v>31</v>
      </c>
      <c r="E10" s="5">
        <v>1</v>
      </c>
      <c r="F10" s="5" t="s">
        <v>10</v>
      </c>
      <c r="G10" s="5">
        <v>500</v>
      </c>
      <c r="H10" s="7">
        <v>500</v>
      </c>
      <c r="I10" s="7" t="s">
        <v>20</v>
      </c>
    </row>
    <row r="11" spans="1:11" x14ac:dyDescent="0.25">
      <c r="A11" s="5">
        <v>3</v>
      </c>
      <c r="B11" s="6">
        <v>44861</v>
      </c>
      <c r="C11" s="5">
        <v>789</v>
      </c>
      <c r="D11" s="5" t="s">
        <v>27</v>
      </c>
      <c r="E11" s="5">
        <v>1</v>
      </c>
      <c r="F11" s="5" t="s">
        <v>10</v>
      </c>
      <c r="G11" s="5">
        <v>500</v>
      </c>
      <c r="H11" s="7">
        <v>500</v>
      </c>
      <c r="I11" s="7" t="s">
        <v>20</v>
      </c>
    </row>
    <row r="12" spans="1:11" x14ac:dyDescent="0.25">
      <c r="A12" s="5">
        <v>1</v>
      </c>
      <c r="B12" s="6">
        <v>44906</v>
      </c>
      <c r="C12" s="5">
        <v>123456</v>
      </c>
      <c r="D12" s="5" t="s">
        <v>26</v>
      </c>
      <c r="E12" s="5">
        <v>1</v>
      </c>
      <c r="F12" s="5" t="s">
        <v>10</v>
      </c>
      <c r="G12" s="5">
        <v>500</v>
      </c>
      <c r="H12" s="7">
        <v>500</v>
      </c>
      <c r="I12" s="7" t="s">
        <v>20</v>
      </c>
    </row>
    <row r="13" spans="1:11" x14ac:dyDescent="0.25">
      <c r="A13" s="5">
        <v>2</v>
      </c>
      <c r="B13" s="6">
        <v>44906</v>
      </c>
      <c r="C13" s="5">
        <v>123456</v>
      </c>
      <c r="D13" s="5" t="s">
        <v>26</v>
      </c>
      <c r="E13" s="5">
        <v>5</v>
      </c>
      <c r="F13" s="5" t="s">
        <v>10</v>
      </c>
      <c r="G13" s="5">
        <v>500</v>
      </c>
      <c r="H13" s="7">
        <v>2500</v>
      </c>
      <c r="I13" s="7" t="s">
        <v>20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B4CC-7C5F-46CF-885C-6BEFE1DFCC4C}">
  <sheetPr codeName="Hoja2">
    <tabColor rgb="FF7030A0"/>
  </sheetPr>
  <dimension ref="B1:H6"/>
  <sheetViews>
    <sheetView topLeftCell="B1" workbookViewId="0">
      <selection activeCell="D5" sqref="D5"/>
    </sheetView>
  </sheetViews>
  <sheetFormatPr baseColWidth="10" defaultRowHeight="15" x14ac:dyDescent="0.25"/>
  <cols>
    <col min="2" max="2" width="13" customWidth="1"/>
    <col min="3" max="5" width="18.28515625" customWidth="1"/>
    <col min="6" max="6" width="20" bestFit="1" customWidth="1"/>
    <col min="7" max="7" width="20.5703125" customWidth="1"/>
    <col min="8" max="8" width="20.85546875" bestFit="1" customWidth="1"/>
  </cols>
  <sheetData>
    <row r="1" spans="2:8" x14ac:dyDescent="0.25">
      <c r="C1" s="31" t="s">
        <v>24</v>
      </c>
      <c r="D1" s="32"/>
      <c r="E1" s="32"/>
      <c r="F1" s="32"/>
      <c r="G1" s="32"/>
      <c r="H1" s="33"/>
    </row>
    <row r="2" spans="2:8" ht="15.75" thickBot="1" x14ac:dyDescent="0.3">
      <c r="B2" s="6"/>
      <c r="C2" s="34"/>
      <c r="D2" s="35"/>
      <c r="E2" s="35"/>
      <c r="F2" s="35"/>
      <c r="G2" s="35"/>
      <c r="H2" s="36"/>
    </row>
    <row r="3" spans="2:8" x14ac:dyDescent="0.25">
      <c r="C3" s="5" t="s">
        <v>2</v>
      </c>
      <c r="D3" s="11" t="s">
        <v>20</v>
      </c>
      <c r="E3" s="13" t="s">
        <v>28</v>
      </c>
      <c r="F3" s="13" t="s">
        <v>29</v>
      </c>
      <c r="G3" s="13" t="s">
        <v>30</v>
      </c>
      <c r="H3" s="13" t="s">
        <v>25</v>
      </c>
    </row>
    <row r="4" spans="2:8" x14ac:dyDescent="0.25">
      <c r="C4" s="14" t="s">
        <v>33</v>
      </c>
      <c r="D4" s="13">
        <f>SUMIFS(TABLA_CIERRES[PRETIO TOTAL],TABLA_CIERRES[FORMA DE PAGO],"Efectivo",TABLA_CIERRES[Fecha],Tabla5[[#This Row],[FECHA]])</f>
        <v>1500</v>
      </c>
      <c r="E4" s="13">
        <f>SUMIFS(TABLA_CIERRES[PRETIO TOTAL],TABLA_CIERRES[FORMA DE PAGO],"TARJETA",TABLA_CIERRES[Fecha],Tabla5[[#This Row],[FECHA]])</f>
        <v>0</v>
      </c>
      <c r="F4" s="20">
        <f>SUMIFS(TABLA_CIERRES[PRETIO TOTAL],TABLA_CIERRES[FORMA DE PAGO],"TRANSFERENCIA",TABLA_CIERRES[Fecha],Tabla5[[#This Row],[FECHA]])</f>
        <v>0</v>
      </c>
      <c r="G4" s="13">
        <v>30</v>
      </c>
      <c r="H4" s="13">
        <f>Tabla5[[#This Row],[EFECTIVO]]+Tabla5[[#This Row],[TARJETA]]+Tabla5[[#This Row],[TRANSFERENCIA]]-Tabla5[[#This Row],[GASTO]]</f>
        <v>1470</v>
      </c>
    </row>
    <row r="5" spans="2:8" x14ac:dyDescent="0.25">
      <c r="C5" s="14" t="s">
        <v>34</v>
      </c>
      <c r="D5" s="13">
        <f>SUMIFS(TABLA_CIERRES[PRETIO TOTAL],TABLA_CIERRES[FORMA DE PAGO],"Efectivo",TABLA_CIERRES[Fecha],Tabla5[[#This Row],[FECHA]])</f>
        <v>3500</v>
      </c>
      <c r="E5" s="13">
        <f>SUMIFS(TABLA_CIERRES[PRETIO TOTAL],TABLA_CIERRES[FORMA DE PAGO],"TARJETA",TABLA_CIERRES[Fecha],Tabla5[[#This Row],[FECHA]])</f>
        <v>0</v>
      </c>
      <c r="F5" s="20">
        <f>SUMIFS(TABLA_CIERRES[PRETIO TOTAL],TABLA_CIERRES[FORMA DE PAGO],"TRANSFERENCIA",TABLA_CIERRES[Fecha],Tabla5[[#This Row],[FECHA]])</f>
        <v>0</v>
      </c>
      <c r="G5" s="13">
        <v>10</v>
      </c>
      <c r="H5" s="13">
        <f>Tabla5[[#This Row],[EFECTIVO]]+Tabla5[[#This Row],[TARJETA]]+Tabla5[[#This Row],[TRANSFERENCIA]]-Tabla5[[#This Row],[GASTO]]</f>
        <v>3490</v>
      </c>
    </row>
    <row r="6" spans="2:8" x14ac:dyDescent="0.25">
      <c r="C6" s="14" t="s">
        <v>34</v>
      </c>
      <c r="D6" s="13">
        <f>SUMIFS(TABLA_CIERRES[PRETIO TOTAL],TABLA_CIERRES[FORMA DE PAGO],"Efectivo",TABLA_CIERRES[Fecha],Tabla5[[#This Row],[FECHA]])</f>
        <v>3500</v>
      </c>
      <c r="E6" s="13">
        <f>SUMIFS(TABLA_CIERRES[PRETIO TOTAL],TABLA_CIERRES[FORMA DE PAGO],"TARJETA",TABLA_CIERRES[Fecha],Tabla5[[#This Row],[FECHA]])</f>
        <v>0</v>
      </c>
      <c r="F6" s="20">
        <f>SUMIFS(TABLA_CIERRES[PRETIO TOTAL],TABLA_CIERRES[FORMA DE PAGO],"TRANSFERENCIA",TABLA_CIERRES[Fecha],Tabla5[[#This Row],[FECHA]])</f>
        <v>0</v>
      </c>
      <c r="G6" s="13">
        <v>20</v>
      </c>
      <c r="H6" s="13">
        <f>Tabla5[[#This Row],[EFECTIVO]]+Tabla5[[#This Row],[TARJETA]]+Tabla5[[#This Row],[TRANSFERENCIA]]-Tabla5[[#This Row],[GASTO]]</f>
        <v>3480</v>
      </c>
    </row>
  </sheetData>
  <mergeCells count="1">
    <mergeCell ref="C1:H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Cierre</vt:lpstr>
      <vt:lpstr>PRODUCTOS</vt:lpstr>
      <vt:lpstr>VENTAS</vt:lpstr>
      <vt:lpstr>TOTAL</vt:lpstr>
      <vt:lpstr>ESTADISTICAS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 de datos</dc:creator>
  <cp:lastModifiedBy>Usuario</cp:lastModifiedBy>
  <dcterms:created xsi:type="dcterms:W3CDTF">2014-11-13T17:53:44Z</dcterms:created>
  <dcterms:modified xsi:type="dcterms:W3CDTF">2023-01-20T01:09:33Z</dcterms:modified>
</cp:coreProperties>
</file>