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El Mundo Del Celular - Gestion\App Definitiva\"/>
    </mc:Choice>
  </mc:AlternateContent>
  <xr:revisionPtr revIDLastSave="0" documentId="13_ncr:1_{764BAC87-EE47-4027-AB9F-CDAFE20F3271}" xr6:coauthVersionLast="47" xr6:coauthVersionMax="47" xr10:uidLastSave="{00000000-0000-0000-0000-000000000000}"/>
  <bookViews>
    <workbookView minimized="1" xWindow="2340" yWindow="2340" windowWidth="15375" windowHeight="7785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PRODUCTOS!$B$1:$I$4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H4" i="2"/>
  <c r="H2" i="2"/>
  <c r="D5" i="5"/>
  <c r="E5" i="5"/>
  <c r="F5" i="5"/>
  <c r="D6" i="5"/>
  <c r="E6" i="5"/>
  <c r="F6" i="5"/>
  <c r="D7" i="5"/>
  <c r="E7" i="5"/>
  <c r="F7" i="5"/>
  <c r="F4" i="5"/>
  <c r="E4" i="5"/>
  <c r="D4" i="5"/>
  <c r="A1" i="1"/>
  <c r="B1" i="1"/>
  <c r="H5" i="5" l="1"/>
  <c r="H6" i="5"/>
  <c r="H4" i="5"/>
  <c r="H7" i="5"/>
</calcChain>
</file>

<file path=xl/sharedStrings.xml><?xml version="1.0" encoding="utf-8"?>
<sst xmlns="http://schemas.openxmlformats.org/spreadsheetml/2006/main" count="117" uniqueCount="46">
  <si>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</si>
  <si>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</si>
  <si>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</si>
  <si>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</si>
  <si>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</si>
  <si>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</si>
  <si>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</si>
  <si>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</si>
  <si>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</si>
  <si>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</si>
  <si>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CABLES</t>
  </si>
  <si>
    <t>CARGADORES</t>
  </si>
  <si>
    <t>VIDRIOS</t>
  </si>
  <si>
    <t>sadf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</si>
  <si>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</si>
  <si>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</si>
  <si>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</si>
  <si>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</si>
  <si>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</si>
  <si>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</si>
  <si>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</si>
  <si>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</si>
  <si>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</si>
  <si>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</si>
  <si>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</si>
  <si>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</si>
  <si>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ESTADISTICA POR FECHA</t>
  </si>
  <si>
    <t>GANACIA</t>
  </si>
  <si>
    <t>FUNDAS IRROMPIBLES</t>
  </si>
  <si>
    <t>PAPAS</t>
  </si>
  <si>
    <t>usb 3.0 reforzadas v8</t>
  </si>
  <si>
    <t>TARJETA</t>
  </si>
  <si>
    <t>TRANSFERENCIA</t>
  </si>
  <si>
    <t>GASTO</t>
  </si>
  <si>
    <t>RAPIDO 3.0A</t>
  </si>
  <si>
    <t>fdg</t>
  </si>
  <si>
    <t>MUNDO</t>
  </si>
  <si>
    <t>algo</t>
  </si>
  <si>
    <t>18/10/2022</t>
  </si>
  <si>
    <t>CONTADO</t>
  </si>
  <si>
    <t>FUNDAS</t>
  </si>
  <si>
    <t>Auriculares i88</t>
  </si>
  <si>
    <t>$</t>
  </si>
  <si>
    <t>19/01/2023</t>
  </si>
  <si>
    <t>REFORZADAS 10</t>
  </si>
  <si>
    <t>sdfsfd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</si>
</sst>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_);[Red]\(&quot;$&quot;#,##0\)"/>
    <numFmt numFmtId="165" formatCode="&quot;$&quot;#,##0.00_);[Red]\(&quot;$&quot;#,##0.00\)"/>
    <numFmt numFmtId="166" formatCode="_-&quot;$&quot;* #,##0.00_-;\-&quot;$&quot;* #,##0.00_-;_-&quot;$&quot;* &quot;-&quot;??_-;_-@_-"/>
    <numFmt numFmtId="167" formatCode="_(&quot;$&quot;* #,##0.00_);_(&quot;$&quot;* \(#,##0.00\);_(&quot;$&quot;* &quot;-&quot;??_);_(@_)"/>
    <numFmt numFmtId="168" formatCode="&quot;$&quot;\ #,##0"/>
    <numFmt numFmtId="169" formatCode="m/d/yyyy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6" fontId="2" fillId="0" borderId="0" applyFont="0" applyFill="0" applyBorder="0" applyAlignment="0" applyProtection="0"/>
  </cellStyleXfs>
  <cellXfs count="37">
    <xf numFmtId="0" fontId="0" fillId="0" borderId="0" xfId="0"/>
    <xf numFmtId="14" fontId="0" fillId="0" borderId="0" xfId="0" applyNumberFormat="1"/>
    <xf numFmtId="167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8" fontId="0" fillId="0" borderId="0" xfId="2" applyNumberFormat="1" applyFont="1" applyAlignment="1">
      <alignment horizontal="left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5" fontId="0" fillId="0" borderId="0" xfId="0" applyNumberFormat="1"/>
    <xf numFmtId="168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4" fillId="4" borderId="0" xfId="0" applyNumberFormat="1" applyFont="1" applyFill="1"/>
    <xf numFmtId="0" fontId="4" fillId="4" borderId="0" xfId="0" applyFont="1" applyFill="1" applyProtection="1">
      <protection hidden="1"/>
    </xf>
    <xf numFmtId="0" fontId="4" fillId="0" borderId="0" xfId="0" applyFont="1" applyFill="1"/>
    <xf numFmtId="14" fontId="0" fillId="4" borderId="0" xfId="0" applyNumberFormat="1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68" fontId="6" fillId="2" borderId="0" xfId="2" applyNumberFormat="1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0" borderId="0" xfId="0" applyNumberFormat="1" applyFont="1" applyFill="1" applyAlignment="1">
      <alignment horizontal="center" vertical="center"/>
    </xf>
    <xf numFmtId="168" fontId="6" fillId="0" borderId="0" xfId="0" applyNumberFormat="1" applyFont="1" applyFill="1" applyAlignment="1">
      <alignment horizontal="center" vertical="center"/>
    </xf>
    <xf numFmtId="169" fontId="6" fillId="0" borderId="0" xfId="0" applyNumberFormat="1" applyFont="1" applyFill="1" applyAlignment="1">
      <alignment horizontal="center" vertical="center"/>
    </xf>
    <xf numFmtId="168" fontId="6" fillId="0" borderId="0" xfId="2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39">
    <dxf>
      <numFmt numFmtId="168" formatCode="&quot;$&quot;\ #,##0"/>
      <alignment horizontal="center" vertical="bottom" textRotation="0" wrapText="0" indent="0" justifyLastLine="0" shrinkToFit="0" readingOrder="0"/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16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7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\ 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F8BF78-C36C-4AB1-BA28-BAE5751E79D0}" name="Tabla2" displayName="Tabla2" ref="A1:I4" totalsRowShown="0" headerRowDxfId="38" dataDxfId="37">
  <autoFilter ref="A1:I4" xr:uid="{00000000-0009-0000-0000-000001000000}"/>
  <tableColumns count="9">
    <tableColumn id="12" xr3:uid="{AC071041-E2A9-4CEA-B43F-B98144A8A1F5}" name="Nro" dataDxfId="36"/>
    <tableColumn id="1" xr3:uid="{6B84CEDA-DC36-45B3-A3F0-F41C1620789A}" name="CODIGO" dataDxfId="35"/>
    <tableColumn id="6" xr3:uid="{AC2917B6-A43F-4606-A475-D3DAB2104887}" name="FECHA" dataDxfId="34"/>
    <tableColumn id="10" xr3:uid="{28F5ACAB-47F4-409E-939C-7ED0E54E1748}" name="CATEGORIA" dataDxfId="33"/>
    <tableColumn id="2" xr3:uid="{2785B6AF-F4EC-4497-88A6-A3CD3DA0FA0E}" name="DESCRIPCION" dataDxfId="32"/>
    <tableColumn id="7" xr3:uid="{62F8E1C1-95A9-4C46-96E8-A2A99572016F}" name="CANTIDAD" dataDxfId="31"/>
    <tableColumn id="8" xr3:uid="{C54F8B8C-A933-472E-8749-2D7884B95BE0}" name="COSTOS" dataDxfId="30"/>
    <tableColumn id="9" xr3:uid="{73A8FC78-C6DB-4B2E-8F1B-0D7134B90C57}" name="RESTANTE" dataDxfId="29">
      <calculatedColumnFormula xml:space="preserve"> SUMIFS(Tabla2[CANTIDAD],Tabla2[CODIGO],Tabla2[[#This Row],[CODIGO]])-SUMIFS(TABLA_CIERRES[CANTIDAD],TABLA_CIERRES[Codigo],TABLA_CIERRES[[#This Row],[Codigo]])</calculatedColumnFormula>
    </tableColumn>
    <tableColumn id="3" xr3:uid="{B144FC6D-AFCA-438D-9C11-FAE3DC497F76}" name="P. UNITARIO" dataDxfId="28" dataCellStyle="Mone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1C09FF-8843-46B7-A2F0-6BC8011F103B}" name="TABLA_VENTAS" displayName="TABLA_VENTAS" ref="A1:I3" totalsRowShown="0" dataDxfId="27">
  <autoFilter ref="A1:I3" xr:uid="{5B1C09FF-8843-46B7-A2F0-6BC8011F103B}"/>
  <tableColumns count="9">
    <tableColumn id="1" xr3:uid="{31122387-3A16-4B44-B24B-4C112BEAA414}" name="Num" dataDxfId="26"/>
    <tableColumn id="2" xr3:uid="{92E632ED-8CC8-41FF-A5A9-932937E3314D}" name="Fecha" dataDxfId="25"/>
    <tableColumn id="3" xr3:uid="{DCECAA1E-5D78-441D-92E3-F2FCDD149301}" name="Codigo" dataDxfId="24"/>
    <tableColumn id="4" xr3:uid="{C483E31D-C60E-4C43-999B-2E576FADE23F}" name="Descripcion" dataDxfId="23"/>
    <tableColumn id="5" xr3:uid="{83433B84-87C8-4A4F-A380-06C67D73F0F1}" name="Cantidad" dataDxfId="22"/>
    <tableColumn id="6" xr3:uid="{26A42391-9BB3-4FB9-9407-5D77A4C77239}" name="Categoria" dataDxfId="21"/>
    <tableColumn id="7" xr3:uid="{83A9DFD0-7835-408A-95CF-0032CDFFB29F}" name="Precio" dataDxfId="20"/>
    <tableColumn id="8" xr3:uid="{6846500A-7108-45DA-8F97-0BC6C7E67597}" name="Total" dataDxfId="19"/>
    <tableColumn id="9" xr3:uid="{DF78DB88-BA0F-433A-B1FE-203BE15C8B2E}" name="Forma de Pago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8FB9C3-78C2-49D8-980D-A80E5966505A}" name="TABLA_CIERRES" displayName="TABLA_CIERRES" ref="A1:I23" totalsRowShown="0" dataDxfId="17">
  <autoFilter ref="A1:I23" xr:uid="{B58FB9C3-78C2-49D8-980D-A80E5966505A}"/>
  <tableColumns count="9">
    <tableColumn id="1" xr3:uid="{B1BEAFBD-17DA-415E-8E34-CCC355C27F48}" name="Num" dataDxfId="16"/>
    <tableColumn id="2" xr3:uid="{C2C3E29F-356D-49D9-BDED-0F73219F612B}" name="Fecha" dataDxfId="15"/>
    <tableColumn id="3" xr3:uid="{8C959440-3149-4733-A3FB-0FDFB12B14C7}" name="Codigo" dataDxfId="14"/>
    <tableColumn id="4" xr3:uid="{AD9E9F15-3218-438D-B44E-267AFA231B43}" name="DESCRIPCION" dataDxfId="13"/>
    <tableColumn id="5" xr3:uid="{5BB9F7C6-CDAD-4DE3-BBB2-694FA6954AF0}" name="CANTIDAD" dataDxfId="12"/>
    <tableColumn id="6" xr3:uid="{F51CE664-2320-48D4-BECD-9848F1D35679}" name="CATEGORIA" dataDxfId="11"/>
    <tableColumn id="7" xr3:uid="{05C1D068-4706-4BF9-AA42-31B12FA988C0}" name="PRECIO UNITARIO" dataDxfId="10"/>
    <tableColumn id="10" xr3:uid="{D471E10E-13F3-42A7-8791-24A9B1724F47}" name="PRETIO TOTAL" dataDxfId="9"/>
    <tableColumn id="8" xr3:uid="{57FA7468-DD35-4ACB-8BED-9866A6DC055E}" name="FORMA DE PAGO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932FE58-2B5F-42C8-BB9B-8732A9202812}" name="Tabla5" displayName="Tabla5" ref="C3:H7" totalsRowShown="0" headerRowDxfId="7" dataDxfId="6">
  <autoFilter ref="C3:H7" xr:uid="{C932FE58-2B5F-42C8-BB9B-8732A9202812}"/>
  <tableColumns count="6">
    <tableColumn id="1" xr3:uid="{75B80F89-0E22-4B25-929D-DB7DAA4405AA}" name="FECHA" dataDxfId="5"/>
    <tableColumn id="3" xr3:uid="{212592E0-C940-4B9E-93D4-9A21EFB6A1E6}" name="EFECTIVO" dataDxfId="4">
      <calculatedColumnFormula>SUMIFS(TABLA_CIERRES[PRETIO TOTAL],TABLA_CIERRES[FORMA DE PAGO],"Efectivo",TABLA_CIERRES[Fecha],Tabla5[[#This Row],[FECHA]])</calculatedColumnFormula>
    </tableColumn>
    <tableColumn id="4" xr3:uid="{83D97C20-415F-4881-9259-045D4B325C2C}" name="TARJETA" dataDxfId="3">
      <calculatedColumnFormula>SUMIFS(TABLA_CIERRES[PRETIO TOTAL],TABLA_CIERRES[FORMA DE PAGO],"TARJETA",TABLA_CIERRES[Fecha],Tabla5[[#This Row],[FECHA]])</calculatedColumnFormula>
    </tableColumn>
    <tableColumn id="5" xr3:uid="{D24C6EAE-4993-47CF-8BD1-1341B99F1B5D}" name="TRANSFERENCIA" dataDxfId="2">
      <calculatedColumnFormula>SUMIFS(TABLA_CIERRES[PRETIO TOTAL],TABLA_CIERRES[FORMA DE PAGO],"TRANSFERENCIA",TABLA_CIERRES[Fecha],Tabla5[[#This Row],[FECHA]])</calculatedColumnFormula>
    </tableColumn>
    <tableColumn id="6" xr3:uid="{2ADE3040-75CB-4FE8-B2F4-A35714F1976E}" name="GASTO" dataDxfId="1">
      <calculatedColumnFormula>SUMIFS(Tabla2[COSTOS],TABLA_CIERRES[DESCRIPCION],"PAPAS")</calculatedColumnFormula>
    </tableColumn>
    <tableColumn id="2" xr3:uid="{C20A4621-1EC1-4618-97CB-05BE73B67AEE}" name="GANACIA" dataDxfId="0">
      <calculatedColumnFormula>Tabla5[[#This Row],[EFECTIVO]]+Tabla5[[#This Row],[TARJETA]]+Tabla5[[#This Row],[TRANSFERENCIA]]-Tabla5[[#This Row],[GASTO]]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1"/>
  <sheetViews>
    <sheetView tabSelected="1" workbookViewId="0">
      <selection activeCell="F8" sqref="F8"/>
    </sheetView>
  </sheetViews>
  <sheetFormatPr baseColWidth="10" defaultRowHeight="15" x14ac:dyDescent="0.25"/>
  <cols>
    <col min="1" max="2" width="11.85546875" bestFit="1" customWidth="1"/>
  </cols>
  <sheetData>
    <row r="1" spans="1:3" x14ac:dyDescent="0.25">
      <c r="A1" s="16">
        <f>MAX(VENTAS!A:A)+1</f>
        <v>3</v>
      </c>
      <c r="B1" s="17">
        <f>MAX(Tabla2[Nro])+1</f>
        <v>24</v>
      </c>
      <c r="C1" s="1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/>
  <dimension ref="A1:I31"/>
  <sheetViews>
    <sheetView zoomScale="82" zoomScaleNormal="82" workbookViewId="0">
      <pane ySplit="1" topLeftCell="A2" activePane="bottomLeft" state="frozen"/>
      <selection pane="bottomLeft" activeCell="C11" sqref="C11"/>
    </sheetView>
  </sheetViews>
  <sheetFormatPr baseColWidth="10" defaultRowHeight="15" x14ac:dyDescent="0.25"/>
  <cols>
    <col min="2" max="4" width="28.42578125" style="3" customWidth="1"/>
    <col min="5" max="8" width="29.85546875" customWidth="1"/>
    <col min="9" max="9" width="15.5703125" style="8" customWidth="1"/>
    <col min="10" max="10" width="16.85546875" bestFit="1" customWidth="1"/>
    <col min="11" max="11" width="19.5703125" bestFit="1" customWidth="1"/>
    <col min="12" max="12" width="12" bestFit="1" customWidth="1"/>
    <col min="13" max="13" width="18.5703125" bestFit="1" customWidth="1"/>
  </cols>
  <sheetData>
    <row r="1" spans="1:9" s="25" customFormat="1" x14ac:dyDescent="0.25">
      <c r="A1" s="22" t="s">
        <v>8</v>
      </c>
      <c r="B1" s="23" t="s">
        <v>9</v>
      </c>
      <c r="C1" s="23" t="s">
        <v>2</v>
      </c>
      <c r="D1" s="23" t="s">
        <v>5</v>
      </c>
      <c r="E1" s="23" t="s">
        <v>0</v>
      </c>
      <c r="F1" s="23" t="s">
        <v>3</v>
      </c>
      <c r="G1" s="23" t="s">
        <v>6</v>
      </c>
      <c r="H1" s="23" t="s">
        <v>7</v>
      </c>
      <c r="I1" s="24" t="s">
        <v>1</v>
      </c>
    </row>
    <row r="2" spans="1:9" s="25" customFormat="1" x14ac:dyDescent="0.25">
      <c r="A2" s="26">
        <v>0</v>
      </c>
      <c r="B2" s="27">
        <v>123</v>
      </c>
      <c r="C2" s="27">
        <v>0</v>
      </c>
      <c r="D2" s="27" t="s">
        <v>12</v>
      </c>
      <c r="E2" s="27" t="s">
        <v>37</v>
      </c>
      <c r="F2" s="27">
        <v>10</v>
      </c>
      <c r="G2" s="27">
        <v>1</v>
      </c>
      <c r="H2" s="27">
        <f xml:space="preserve"> SUMIFS(Tabla2[CANTIDAD],Tabla2[CODIGO],Tabla2[[#This Row],[CODIGO]])-SUMIFS(TABLA_CIERRES[CANTIDAD],TABLA_CIERRES[Codigo],TABLA_CIERRES[[#This Row],[Codigo]])</f>
        <v>5</v>
      </c>
      <c r="I2" s="28">
        <v>2425.5</v>
      </c>
    </row>
    <row r="3" spans="1:9" s="25" customFormat="1" x14ac:dyDescent="0.25">
      <c r="A3" s="26">
        <v>23</v>
      </c>
      <c r="B3" s="27">
        <v>302465250</v>
      </c>
      <c r="C3" s="29" t="s">
        <v>43</v>
      </c>
      <c r="D3" s="27" t="s">
        <v>40</v>
      </c>
      <c r="E3" s="27" t="s">
        <v>45</v>
      </c>
      <c r="F3" s="27">
        <v>45</v>
      </c>
      <c r="G3" s="27">
        <v>34</v>
      </c>
      <c r="H3" s="27">
        <f xml:space="preserve"> SUMIFS(Tabla2[CANTIDAD],Tabla2[CODIGO],Tabla2[[#This Row],[CODIGO]])-SUMIFS(TABLA_CIERRES[CANTIDAD],TABLA_CIERRES[Codigo],TABLA_CIERRES[[#This Row],[Codigo]])</f>
        <v>41</v>
      </c>
      <c r="I3" s="30">
        <v>444</v>
      </c>
    </row>
    <row r="4" spans="1:9" s="25" customFormat="1" x14ac:dyDescent="0.25">
      <c r="A4" s="26">
        <v>22</v>
      </c>
      <c r="B4" s="27">
        <v>302465249</v>
      </c>
      <c r="C4" s="29" t="s">
        <v>43</v>
      </c>
      <c r="D4" s="27" t="s">
        <v>40</v>
      </c>
      <c r="E4" s="27" t="s">
        <v>44</v>
      </c>
      <c r="F4" s="27">
        <v>23</v>
      </c>
      <c r="G4" s="27">
        <v>34</v>
      </c>
      <c r="H4" s="27">
        <f xml:space="preserve"> SUMIFS(Tabla2[CANTIDAD],Tabla2[CODIGO],Tabla2[[#This Row],[CODIGO]])-SUMIFS(TABLA_CIERRES[CANTIDAD],TABLA_CIERRES[Codigo],TABLA_CIERRES[[#This Row],[Codigo]])</f>
        <v>4</v>
      </c>
      <c r="I4" s="30">
        <v>43</v>
      </c>
    </row>
    <row r="13" spans="1:9" ht="15.75" customHeight="1" x14ac:dyDescent="0.25">
      <c r="F13" s="20"/>
    </row>
    <row r="14" spans="1:9" ht="15.75" customHeight="1" x14ac:dyDescent="0.25"/>
    <row r="15" spans="1:9" ht="15.75" customHeight="1" x14ac:dyDescent="0.25"/>
    <row r="16" spans="1:9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/>
  <dimension ref="A1:I3"/>
  <sheetViews>
    <sheetView zoomScale="87" zoomScaleNormal="87" workbookViewId="0">
      <pane ySplit="1" topLeftCell="A2" activePane="bottomLeft" state="frozen"/>
      <selection pane="bottomLeft" activeCell="B2" sqref="B2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bestFit="1" customWidth="1"/>
    <col min="8" max="8" width="13.7109375" bestFit="1" customWidth="1"/>
    <col min="9" max="9" width="19.5703125" bestFit="1" customWidth="1"/>
  </cols>
  <sheetData>
    <row r="1" spans="1:9" x14ac:dyDescent="0.25">
      <c r="A1" s="1" t="s">
        <v>14</v>
      </c>
      <c r="B1" s="1" t="s">
        <v>15</v>
      </c>
      <c r="C1" t="s">
        <v>4</v>
      </c>
      <c r="D1" t="s">
        <v>16</v>
      </c>
      <c r="E1" s="2" t="s">
        <v>17</v>
      </c>
      <c r="F1" s="2" t="s">
        <v>18</v>
      </c>
      <c r="G1" t="s">
        <v>19</v>
      </c>
      <c r="H1" t="s">
        <v>20</v>
      </c>
      <c r="I1" t="s">
        <v>21</v>
      </c>
    </row>
    <row r="2" spans="1:9" x14ac:dyDescent="0.25">
      <c r="A2" s="9">
        <v>1</v>
      </c>
      <c r="B2" s="14">
        <v>44945</v>
      </c>
      <c r="C2" s="5">
        <v>302465249</v>
      </c>
      <c r="D2" s="5" t="s">
        <v>44</v>
      </c>
      <c r="E2" s="11">
        <v>1</v>
      </c>
      <c r="F2" s="10" t="s">
        <v>40</v>
      </c>
      <c r="G2" s="15">
        <v>43</v>
      </c>
      <c r="H2" s="15">
        <v>43</v>
      </c>
      <c r="I2" s="7" t="s">
        <v>22</v>
      </c>
    </row>
    <row r="3" spans="1:9" x14ac:dyDescent="0.25">
      <c r="A3" s="9">
        <v>2</v>
      </c>
      <c r="B3" s="14">
        <v>44945</v>
      </c>
      <c r="C3" s="5">
        <v>302465250</v>
      </c>
      <c r="D3" s="5" t="s">
        <v>45</v>
      </c>
      <c r="E3" s="11">
        <v>1</v>
      </c>
      <c r="F3" s="10" t="s">
        <v>40</v>
      </c>
      <c r="G3" s="21">
        <v>444</v>
      </c>
      <c r="H3" s="21">
        <v>444</v>
      </c>
      <c r="I3" s="7" t="s">
        <v>22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201D6-927C-46CE-BDAF-51D0522F3DAB}">
  <sheetPr codeName="CIERRES"/>
  <dimension ref="A1:K23"/>
  <sheetViews>
    <sheetView zoomScale="98" zoomScaleNormal="98" workbookViewId="0">
      <selection activeCell="D19" sqref="D19"/>
    </sheetView>
  </sheetViews>
  <sheetFormatPr baseColWidth="10" defaultRowHeight="15" x14ac:dyDescent="0.25"/>
  <cols>
    <col min="1" max="1" width="7.5703125" bestFit="1" customWidth="1"/>
    <col min="2" max="2" width="13.7109375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bestFit="1" customWidth="1"/>
    <col min="8" max="8" width="15.5703125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14</v>
      </c>
      <c r="B1" t="s">
        <v>15</v>
      </c>
      <c r="C1" t="s">
        <v>4</v>
      </c>
      <c r="D1" t="s">
        <v>0</v>
      </c>
      <c r="E1" t="s">
        <v>3</v>
      </c>
      <c r="F1" t="s">
        <v>5</v>
      </c>
      <c r="G1" t="s">
        <v>25</v>
      </c>
      <c r="H1" t="s">
        <v>23</v>
      </c>
      <c r="I1" t="s">
        <v>24</v>
      </c>
      <c r="K1" s="12"/>
    </row>
    <row r="2" spans="1:11" x14ac:dyDescent="0.25">
      <c r="A2" s="5">
        <v>4</v>
      </c>
      <c r="B2" s="6">
        <v>44850</v>
      </c>
      <c r="C2" s="5">
        <v>121212</v>
      </c>
      <c r="D2" s="5" t="s">
        <v>34</v>
      </c>
      <c r="E2" s="5">
        <v>5</v>
      </c>
      <c r="F2" s="5" t="s">
        <v>11</v>
      </c>
      <c r="G2" s="15">
        <v>1200</v>
      </c>
      <c r="H2" s="7">
        <v>6000</v>
      </c>
      <c r="I2" s="7" t="s">
        <v>31</v>
      </c>
    </row>
    <row r="3" spans="1:11" x14ac:dyDescent="0.25">
      <c r="A3" s="5">
        <v>6</v>
      </c>
      <c r="B3" s="6">
        <v>44850</v>
      </c>
      <c r="C3" s="5">
        <v>789</v>
      </c>
      <c r="D3" s="5" t="s">
        <v>28</v>
      </c>
      <c r="E3" s="5">
        <v>1</v>
      </c>
      <c r="F3" s="5" t="s">
        <v>10</v>
      </c>
      <c r="G3" s="15">
        <v>385</v>
      </c>
      <c r="H3" s="7">
        <v>385</v>
      </c>
      <c r="I3" s="7" t="s">
        <v>22</v>
      </c>
    </row>
    <row r="4" spans="1:11" x14ac:dyDescent="0.25">
      <c r="A4" s="5">
        <v>2</v>
      </c>
      <c r="B4" s="19">
        <v>44851</v>
      </c>
      <c r="C4" s="5">
        <v>123</v>
      </c>
      <c r="D4" s="5" t="s">
        <v>36</v>
      </c>
      <c r="E4" s="5">
        <v>1</v>
      </c>
      <c r="F4" s="5" t="s">
        <v>12</v>
      </c>
      <c r="G4" s="15">
        <v>2426</v>
      </c>
      <c r="H4" s="7">
        <v>2426</v>
      </c>
      <c r="I4" s="7" t="s">
        <v>22</v>
      </c>
    </row>
    <row r="5" spans="1:11" x14ac:dyDescent="0.25">
      <c r="A5" s="5">
        <v>2</v>
      </c>
      <c r="B5" s="19">
        <v>44851</v>
      </c>
      <c r="C5" s="5">
        <v>456</v>
      </c>
      <c r="D5" s="5" t="s">
        <v>35</v>
      </c>
      <c r="E5" s="5">
        <v>1</v>
      </c>
      <c r="F5" s="5" t="s">
        <v>10</v>
      </c>
      <c r="G5" s="15">
        <v>100</v>
      </c>
      <c r="H5" s="7">
        <v>100</v>
      </c>
      <c r="I5" s="7" t="s">
        <v>32</v>
      </c>
    </row>
    <row r="6" spans="1:11" x14ac:dyDescent="0.25">
      <c r="A6" s="5">
        <v>2</v>
      </c>
      <c r="B6" s="19">
        <v>44851</v>
      </c>
      <c r="C6" s="5">
        <v>789</v>
      </c>
      <c r="D6" s="5" t="s">
        <v>30</v>
      </c>
      <c r="E6" s="5">
        <v>1</v>
      </c>
      <c r="F6" s="5" t="s">
        <v>10</v>
      </c>
      <c r="G6" s="15">
        <v>600</v>
      </c>
      <c r="H6" s="7">
        <v>600</v>
      </c>
      <c r="I6" s="7" t="s">
        <v>31</v>
      </c>
    </row>
    <row r="7" spans="1:11" x14ac:dyDescent="0.25">
      <c r="A7" s="5">
        <v>3</v>
      </c>
      <c r="B7" s="19">
        <v>44851</v>
      </c>
      <c r="C7" s="5">
        <v>123</v>
      </c>
      <c r="D7" s="5" t="s">
        <v>13</v>
      </c>
      <c r="E7" s="5">
        <v>1</v>
      </c>
      <c r="F7" s="5" t="s">
        <v>12</v>
      </c>
      <c r="G7" s="15">
        <v>2426</v>
      </c>
      <c r="H7" s="7">
        <v>2426</v>
      </c>
      <c r="I7" s="7" t="s">
        <v>22</v>
      </c>
    </row>
    <row r="8" spans="1:11" x14ac:dyDescent="0.25">
      <c r="A8" s="5">
        <v>0</v>
      </c>
      <c r="B8" s="19">
        <v>44851</v>
      </c>
      <c r="C8" s="5">
        <v>456</v>
      </c>
      <c r="D8" s="5" t="s">
        <v>30</v>
      </c>
      <c r="E8" s="5">
        <v>1</v>
      </c>
      <c r="F8" s="5" t="s">
        <v>10</v>
      </c>
      <c r="G8" s="15">
        <v>100</v>
      </c>
      <c r="H8" s="7">
        <v>100</v>
      </c>
      <c r="I8" s="7" t="s">
        <v>22</v>
      </c>
    </row>
    <row r="9" spans="1:11" x14ac:dyDescent="0.25">
      <c r="A9" s="5">
        <v>0</v>
      </c>
      <c r="B9" s="19">
        <v>44851</v>
      </c>
      <c r="C9" s="5">
        <v>789</v>
      </c>
      <c r="D9" s="5" t="s">
        <v>29</v>
      </c>
      <c r="E9" s="5">
        <v>1</v>
      </c>
      <c r="F9" s="5" t="s">
        <v>10</v>
      </c>
      <c r="G9" s="15">
        <v>600</v>
      </c>
      <c r="H9" s="7">
        <v>600</v>
      </c>
      <c r="I9" s="7" t="s">
        <v>22</v>
      </c>
    </row>
    <row r="10" spans="1:11" x14ac:dyDescent="0.25">
      <c r="A10" s="5">
        <v>3</v>
      </c>
      <c r="B10" s="6">
        <v>44852</v>
      </c>
      <c r="C10" s="5">
        <v>123</v>
      </c>
      <c r="D10" s="5" t="s">
        <v>37</v>
      </c>
      <c r="E10" s="5">
        <v>1</v>
      </c>
      <c r="F10" s="5" t="s">
        <v>12</v>
      </c>
      <c r="G10" s="21">
        <v>2426</v>
      </c>
      <c r="H10" s="7">
        <v>2426</v>
      </c>
      <c r="I10" s="7" t="s">
        <v>22</v>
      </c>
    </row>
    <row r="11" spans="1:11" x14ac:dyDescent="0.25">
      <c r="A11" s="5">
        <v>3</v>
      </c>
      <c r="B11" s="6">
        <v>44852</v>
      </c>
      <c r="C11" s="5">
        <v>456</v>
      </c>
      <c r="D11" s="5" t="s">
        <v>36</v>
      </c>
      <c r="E11" s="5">
        <v>1</v>
      </c>
      <c r="F11" s="5" t="s">
        <v>10</v>
      </c>
      <c r="G11" s="21">
        <v>100</v>
      </c>
      <c r="H11" s="7">
        <v>100</v>
      </c>
      <c r="I11" s="7" t="s">
        <v>22</v>
      </c>
    </row>
    <row r="12" spans="1:11" x14ac:dyDescent="0.25">
      <c r="A12" s="5">
        <v>3</v>
      </c>
      <c r="B12" s="6">
        <v>44852</v>
      </c>
      <c r="C12" s="5">
        <v>789</v>
      </c>
      <c r="D12" s="5" t="s">
        <v>30</v>
      </c>
      <c r="E12" s="5">
        <v>1</v>
      </c>
      <c r="F12" s="5" t="s">
        <v>10</v>
      </c>
      <c r="G12" s="21">
        <v>600</v>
      </c>
      <c r="H12" s="7">
        <v>600</v>
      </c>
      <c r="I12" s="7" t="s">
        <v>22</v>
      </c>
    </row>
    <row r="13" spans="1:11" x14ac:dyDescent="0.25">
      <c r="A13" s="5">
        <v>2</v>
      </c>
      <c r="B13" s="6">
        <v>44852</v>
      </c>
      <c r="C13" s="5">
        <v>123</v>
      </c>
      <c r="D13" s="5" t="s">
        <v>37</v>
      </c>
      <c r="E13" s="5">
        <v>5</v>
      </c>
      <c r="F13" s="5" t="s">
        <v>12</v>
      </c>
      <c r="G13" s="21">
        <v>2426</v>
      </c>
      <c r="H13" s="7">
        <v>12130</v>
      </c>
      <c r="I13" s="7" t="s">
        <v>22</v>
      </c>
    </row>
    <row r="14" spans="1:11" x14ac:dyDescent="0.25">
      <c r="A14" s="5">
        <v>2</v>
      </c>
      <c r="B14" s="6">
        <v>44852</v>
      </c>
      <c r="C14" s="5">
        <v>456</v>
      </c>
      <c r="D14" s="5" t="s">
        <v>36</v>
      </c>
      <c r="E14" s="5">
        <v>1</v>
      </c>
      <c r="F14" s="5" t="s">
        <v>10</v>
      </c>
      <c r="G14" s="21">
        <v>100</v>
      </c>
      <c r="H14" s="7">
        <v>100</v>
      </c>
      <c r="I14" s="7" t="s">
        <v>22</v>
      </c>
    </row>
    <row r="15" spans="1:11" x14ac:dyDescent="0.25">
      <c r="A15" s="5">
        <v>4</v>
      </c>
      <c r="B15" s="6">
        <v>44852</v>
      </c>
      <c r="C15" s="5">
        <v>456</v>
      </c>
      <c r="D15" s="5" t="s">
        <v>36</v>
      </c>
      <c r="E15" s="5">
        <v>1</v>
      </c>
      <c r="F15" s="5" t="s">
        <v>10</v>
      </c>
      <c r="G15" s="21">
        <v>100</v>
      </c>
      <c r="H15" s="7">
        <v>100</v>
      </c>
      <c r="I15" s="7" t="s">
        <v>39</v>
      </c>
    </row>
    <row r="16" spans="1:11" x14ac:dyDescent="0.25">
      <c r="A16" s="5">
        <v>4</v>
      </c>
      <c r="B16" s="6">
        <v>44852</v>
      </c>
      <c r="C16" s="5">
        <v>123</v>
      </c>
      <c r="D16" s="5" t="s">
        <v>37</v>
      </c>
      <c r="E16" s="5">
        <v>5</v>
      </c>
      <c r="F16" s="5" t="s">
        <v>12</v>
      </c>
      <c r="G16" s="21">
        <v>2426</v>
      </c>
      <c r="H16" s="7">
        <v>12130</v>
      </c>
      <c r="I16" s="7" t="s">
        <v>39</v>
      </c>
    </row>
    <row r="17" spans="1:9" x14ac:dyDescent="0.25">
      <c r="A17" s="5">
        <v>4</v>
      </c>
      <c r="B17" s="6">
        <v>44852</v>
      </c>
      <c r="C17" s="5">
        <v>456</v>
      </c>
      <c r="D17" s="5" t="s">
        <v>36</v>
      </c>
      <c r="E17" s="5">
        <v>2</v>
      </c>
      <c r="F17" s="5" t="s">
        <v>10</v>
      </c>
      <c r="G17" s="21">
        <v>100</v>
      </c>
      <c r="H17" s="7">
        <v>200</v>
      </c>
      <c r="I17" s="7" t="s">
        <v>39</v>
      </c>
    </row>
    <row r="18" spans="1:9" x14ac:dyDescent="0.25">
      <c r="A18" s="5">
        <v>4</v>
      </c>
      <c r="B18" s="6">
        <v>44852</v>
      </c>
      <c r="C18" s="5">
        <v>123</v>
      </c>
      <c r="D18" s="5" t="s">
        <v>37</v>
      </c>
      <c r="E18" s="5">
        <v>3</v>
      </c>
      <c r="F18" s="5" t="s">
        <v>12</v>
      </c>
      <c r="G18" s="21">
        <v>2426</v>
      </c>
      <c r="H18" s="7">
        <v>7278</v>
      </c>
      <c r="I18" s="7" t="s">
        <v>39</v>
      </c>
    </row>
    <row r="19" spans="1:9" x14ac:dyDescent="0.25">
      <c r="A19" s="5">
        <v>4</v>
      </c>
      <c r="B19" s="6">
        <v>44852</v>
      </c>
      <c r="C19" s="5">
        <v>123</v>
      </c>
      <c r="D19" s="5" t="s">
        <v>37</v>
      </c>
      <c r="E19" s="5">
        <v>2</v>
      </c>
      <c r="F19" s="5" t="s">
        <v>12</v>
      </c>
      <c r="G19" s="21">
        <v>2426</v>
      </c>
      <c r="H19" s="7">
        <v>4852</v>
      </c>
      <c r="I19" s="7" t="s">
        <v>32</v>
      </c>
    </row>
    <row r="20" spans="1:9" x14ac:dyDescent="0.25">
      <c r="A20" s="5">
        <v>4</v>
      </c>
      <c r="B20" s="6">
        <v>44852</v>
      </c>
      <c r="C20" s="5">
        <v>456</v>
      </c>
      <c r="D20" s="5" t="s">
        <v>36</v>
      </c>
      <c r="E20" s="5">
        <v>2</v>
      </c>
      <c r="F20" s="5" t="s">
        <v>10</v>
      </c>
      <c r="G20" s="21">
        <v>100</v>
      </c>
      <c r="H20" s="7">
        <v>200</v>
      </c>
      <c r="I20" s="7" t="s">
        <v>32</v>
      </c>
    </row>
    <row r="21" spans="1:9" x14ac:dyDescent="0.25">
      <c r="A21" s="5">
        <v>4</v>
      </c>
      <c r="B21" s="6">
        <v>44852</v>
      </c>
      <c r="C21" s="5">
        <v>123</v>
      </c>
      <c r="D21" s="5" t="s">
        <v>37</v>
      </c>
      <c r="E21" s="5">
        <v>1</v>
      </c>
      <c r="F21" s="5" t="s">
        <v>12</v>
      </c>
      <c r="G21" s="21">
        <v>2426</v>
      </c>
      <c r="H21" s="7">
        <v>2426</v>
      </c>
      <c r="I21" s="7" t="s">
        <v>32</v>
      </c>
    </row>
    <row r="22" spans="1:9" x14ac:dyDescent="0.25">
      <c r="A22" s="5">
        <v>4</v>
      </c>
      <c r="B22" s="6">
        <v>44852</v>
      </c>
      <c r="C22" s="5">
        <v>456</v>
      </c>
      <c r="D22" s="5" t="s">
        <v>36</v>
      </c>
      <c r="E22" s="5">
        <v>66</v>
      </c>
      <c r="F22" s="5" t="s">
        <v>10</v>
      </c>
      <c r="G22" s="21">
        <v>100</v>
      </c>
      <c r="H22" s="7">
        <v>6600</v>
      </c>
      <c r="I22" s="7" t="s">
        <v>32</v>
      </c>
    </row>
    <row r="23" spans="1:9" x14ac:dyDescent="0.25">
      <c r="A23" s="5">
        <v>0</v>
      </c>
      <c r="B23" s="6">
        <v>44852</v>
      </c>
      <c r="C23" s="5">
        <v>10000</v>
      </c>
      <c r="D23" s="5" t="s">
        <v>41</v>
      </c>
      <c r="E23" s="5">
        <v>1</v>
      </c>
      <c r="F23" s="5" t="s">
        <v>40</v>
      </c>
      <c r="G23" s="21">
        <v>0</v>
      </c>
      <c r="H23" s="7" t="s">
        <v>42</v>
      </c>
      <c r="I23" s="7" t="s">
        <v>22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DB4CC-7C5F-46CF-885C-6BEFE1DFCC4C}">
  <sheetPr codeName="Hoja2"/>
  <dimension ref="B1:H8"/>
  <sheetViews>
    <sheetView topLeftCell="B1" workbookViewId="0">
      <selection activeCell="H4" sqref="H4"/>
    </sheetView>
  </sheetViews>
  <sheetFormatPr baseColWidth="10" defaultRowHeight="15" x14ac:dyDescent="0.25"/>
  <cols>
    <col min="2" max="2" width="13" customWidth="1"/>
    <col min="3" max="5" width="18.28515625" customWidth="1"/>
    <col min="6" max="6" width="20" bestFit="1" customWidth="1"/>
    <col min="7" max="7" width="20.5703125" customWidth="1"/>
    <col min="8" max="8" width="20.85546875" bestFit="1" customWidth="1"/>
  </cols>
  <sheetData>
    <row r="1" spans="2:8" x14ac:dyDescent="0.25">
      <c r="C1" s="31" t="s">
        <v>26</v>
      </c>
      <c r="D1" s="32"/>
      <c r="E1" s="32"/>
      <c r="F1" s="32"/>
      <c r="G1" s="32"/>
      <c r="H1" s="33"/>
    </row>
    <row r="2" spans="2:8" ht="15.75" thickBot="1" x14ac:dyDescent="0.3">
      <c r="B2" s="6"/>
      <c r="C2" s="34"/>
      <c r="D2" s="35"/>
      <c r="E2" s="35"/>
      <c r="F2" s="35"/>
      <c r="G2" s="35"/>
      <c r="H2" s="36"/>
    </row>
    <row r="3" spans="2:8" x14ac:dyDescent="0.25">
      <c r="C3" s="5" t="s">
        <v>2</v>
      </c>
      <c r="D3" s="11" t="s">
        <v>22</v>
      </c>
      <c r="E3" s="13" t="s">
        <v>31</v>
      </c>
      <c r="F3" s="13" t="s">
        <v>32</v>
      </c>
      <c r="G3" s="13" t="s">
        <v>33</v>
      </c>
      <c r="H3" s="13" t="s">
        <v>27</v>
      </c>
    </row>
    <row r="4" spans="2:8" x14ac:dyDescent="0.25">
      <c r="C4" s="6">
        <v>44851</v>
      </c>
      <c r="D4" s="13">
        <f>SUMIFS(TABLA_CIERRES[PRETIO TOTAL],TABLA_CIERRES[FORMA DE PAGO],"Efectivo",TABLA_CIERRES[Fecha],Tabla5[[#This Row],[FECHA]])</f>
        <v>5552</v>
      </c>
      <c r="E4" s="13">
        <f>SUMIFS(TABLA_CIERRES[PRETIO TOTAL],TABLA_CIERRES[FORMA DE PAGO],"TARJETA",TABLA_CIERRES[Fecha],Tabla5[[#This Row],[FECHA]])</f>
        <v>600</v>
      </c>
      <c r="F4" s="13">
        <f>SUMIFS(TABLA_CIERRES[PRETIO TOTAL],TABLA_CIERRES[FORMA DE PAGO],"TRANSFERENCIA",TABLA_CIERRES[Fecha],Tabla5[[#This Row],[FECHA]])</f>
        <v>100</v>
      </c>
      <c r="G4" s="13">
        <v>1327</v>
      </c>
      <c r="H4" s="13">
        <f>Tabla5[[#This Row],[EFECTIVO]]+Tabla5[[#This Row],[TARJETA]]+Tabla5[[#This Row],[TRANSFERENCIA]]-Tabla5[[#This Row],[GASTO]]</f>
        <v>4925</v>
      </c>
    </row>
    <row r="5" spans="2:8" x14ac:dyDescent="0.25">
      <c r="C5" s="14" t="s">
        <v>38</v>
      </c>
      <c r="D5" s="13">
        <f>SUMIFS(TABLA_CIERRES[PRETIO TOTAL],TABLA_CIERRES[FORMA DE PAGO],"Efectivo",TABLA_CIERRES[Fecha],Tabla5[[#This Row],[FECHA]])</f>
        <v>15356</v>
      </c>
      <c r="E5" s="13">
        <f>SUMIFS(TABLA_CIERRES[PRETIO TOTAL],TABLA_CIERRES[FORMA DE PAGO],"TARJETA",TABLA_CIERRES[Fecha],Tabla5[[#This Row],[FECHA]])</f>
        <v>0</v>
      </c>
      <c r="F5" s="13">
        <f>SUMIFS(TABLA_CIERRES[PRETIO TOTAL],TABLA_CIERRES[FORMA DE PAGO],"TRANSFERENCIA",TABLA_CIERRES[Fecha],Tabla5[[#This Row],[FECHA]])</f>
        <v>14078</v>
      </c>
      <c r="G5" s="13">
        <v>1447</v>
      </c>
      <c r="H5" s="13">
        <f>Tabla5[[#This Row],[EFECTIVO]]+Tabla5[[#This Row],[TARJETA]]+Tabla5[[#This Row],[TRANSFERENCIA]]-Tabla5[[#This Row],[GASTO]]</f>
        <v>27987</v>
      </c>
    </row>
    <row r="6" spans="2:8" x14ac:dyDescent="0.25">
      <c r="C6" s="14" t="s">
        <v>38</v>
      </c>
      <c r="D6" s="13">
        <f>SUMIFS(TABLA_CIERRES[PRETIO TOTAL],TABLA_CIERRES[FORMA DE PAGO],"Efectivo",TABLA_CIERRES[Fecha],Tabla5[[#This Row],[FECHA]])</f>
        <v>15356</v>
      </c>
      <c r="E6" s="13">
        <f>SUMIFS(TABLA_CIERRES[PRETIO TOTAL],TABLA_CIERRES[FORMA DE PAGO],"TARJETA",TABLA_CIERRES[Fecha],Tabla5[[#This Row],[FECHA]])</f>
        <v>0</v>
      </c>
      <c r="F6" s="13">
        <f>SUMIFS(TABLA_CIERRES[PRETIO TOTAL],TABLA_CIERRES[FORMA DE PAGO],"TRANSFERENCIA",TABLA_CIERRES[Fecha],Tabla5[[#This Row],[FECHA]])</f>
        <v>14078</v>
      </c>
      <c r="G6" s="13">
        <v>947</v>
      </c>
      <c r="H6" s="13">
        <f>Tabla5[[#This Row],[EFECTIVO]]+Tabla5[[#This Row],[TARJETA]]+Tabla5[[#This Row],[TRANSFERENCIA]]-Tabla5[[#This Row],[GASTO]]</f>
        <v>28487</v>
      </c>
    </row>
    <row r="7" spans="2:8" x14ac:dyDescent="0.25">
      <c r="C7" s="14">
        <v>44850</v>
      </c>
      <c r="D7" s="13">
        <f>SUMIFS(TABLA_CIERRES[PRETIO TOTAL],TABLA_CIERRES[FORMA DE PAGO],"Efectivo",TABLA_CIERRES[Fecha],Tabla5[[#This Row],[FECHA]])</f>
        <v>385</v>
      </c>
      <c r="E7" s="13">
        <f>SUMIFS(TABLA_CIERRES[PRETIO TOTAL],TABLA_CIERRES[FORMA DE PAGO],"TARJETA",TABLA_CIERRES[Fecha],Tabla5[[#This Row],[FECHA]])</f>
        <v>6000</v>
      </c>
      <c r="F7" s="13">
        <f>SUMIFS(TABLA_CIERRES[PRETIO TOTAL],TABLA_CIERRES[FORMA DE PAGO],"TRANSFERENCIA",TABLA_CIERRES[Fecha],Tabla5[[#This Row],[FECHA]])</f>
        <v>0</v>
      </c>
      <c r="G7" s="13">
        <v>1327</v>
      </c>
      <c r="H7" s="13">
        <f>Tabla5[[#This Row],[EFECTIVO]]+Tabla5[[#This Row],[TARJETA]]+Tabla5[[#This Row],[TRANSFERENCIA]]-Tabla5[[#This Row],[GASTO]]</f>
        <v>5058</v>
      </c>
    </row>
    <row r="8" spans="2:8" x14ac:dyDescent="0.25">
      <c r="C8" s="6"/>
    </row>
  </sheetData>
  <mergeCells count="1">
    <mergeCell ref="C1:H2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2023-01-20T01:18:48Z</dcterms:modified>
</cp:coreProperties>
</file>